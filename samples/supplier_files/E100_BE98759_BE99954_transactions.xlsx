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 price summary" sheetId="1" state="visible" r:id="rId3"/>
    <sheet name="Transactions" sheetId="2" state="visible" r:id="rId4"/>
    <sheet name="Invoice totals check" sheetId="3" state="visible" r:id="rId5"/>
    <sheet name="Card totals check" sheetId="4" state="visible" r:id="rId6"/>
  </sheets>
  <definedNames>
    <definedName function="false" hidden="true" localSheetId="1" name="_xlnm._FilterDatabase" vbProcedure="false">Transactions!$A$1:$Q$215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<sst xmlns="http://schemas.openxmlformats.org/spreadsheetml/2006/main" count="1471" uniqueCount="336">
  <si>
    <t xml:space="preserve">NET PRICE OVERVIEW (excl. VAT, after E100 discount) - UAB Vestroidas, May 2026, Belgium</t>
  </si>
  <si>
    <t xml:space="preserve">Diesel by station</t>
  </si>
  <si>
    <t xml:space="preserve">Litres</t>
  </si>
  <si>
    <t xml:space="preserve">Net EUR</t>
  </si>
  <si>
    <t xml:space="preserve">Wtd avg net EUR/L</t>
  </si>
  <si>
    <t xml:space="preserve">Min net EUR/L</t>
  </si>
  <si>
    <t xml:space="preserve">Max net EUR/L</t>
  </si>
  <si>
    <t xml:space="preserve">Discount EUR/L</t>
  </si>
  <si>
    <t xml:space="preserve">BE94 Poperinge</t>
  </si>
  <si>
    <t xml:space="preserve">0.2300</t>
  </si>
  <si>
    <t xml:space="preserve">BE725 Longlier</t>
  </si>
  <si>
    <t xml:space="preserve">0.1800</t>
  </si>
  <si>
    <t xml:space="preserve">BE428 La Louviere</t>
  </si>
  <si>
    <t xml:space="preserve">BE92 Veurne</t>
  </si>
  <si>
    <t xml:space="preserve">0.1050</t>
  </si>
  <si>
    <t xml:space="preserve">BE9 Hoogstraten</t>
  </si>
  <si>
    <t xml:space="preserve">0.0800</t>
  </si>
  <si>
    <t xml:space="preserve">BE1042 Meer (orange)</t>
  </si>
  <si>
    <t xml:space="preserve">0.1930</t>
  </si>
  <si>
    <t xml:space="preserve">BE768 Meer-Hoogstraten</t>
  </si>
  <si>
    <t xml:space="preserve">0.1850</t>
  </si>
  <si>
    <t xml:space="preserve">TOTAL DIESEL</t>
  </si>
  <si>
    <t xml:space="preserve">AdBlue (all stations)</t>
  </si>
  <si>
    <t xml:space="preserve">varies</t>
  </si>
  <si>
    <t xml:space="preserve">Parking (1 un.)</t>
  </si>
  <si>
    <t xml:space="preserve">Diesel net price by half-month</t>
  </si>
  <si>
    <t xml:space="preserve">01-15 May (BE98759)</t>
  </si>
  <si>
    <t xml:space="preserve">16-31 May (BE99954)</t>
  </si>
  <si>
    <t xml:space="preserve">Invoice</t>
  </si>
  <si>
    <t xml:space="preserve">Plate</t>
  </si>
  <si>
    <t xml:space="preserve">Date</t>
  </si>
  <si>
    <t xml:space="preserve">Time</t>
  </si>
  <si>
    <t xml:space="preserve">Station</t>
  </si>
  <si>
    <t xml:space="preserve">Product</t>
  </si>
  <si>
    <t xml:space="preserve">Qty (L/un)</t>
  </si>
  <si>
    <t xml:space="preserve">Gross price EUR (incl VAT)</t>
  </si>
  <si>
    <t xml:space="preserve">Discount total EUR</t>
  </si>
  <si>
    <t xml:space="preserve">Net price EUR/L (doc)</t>
  </si>
  <si>
    <t xml:space="preserve">VAT EUR</t>
  </si>
  <si>
    <t xml:space="preserve">Amount incl VAT EUR</t>
  </si>
  <si>
    <t xml:space="preserve">Chk1: discount=qty x rate</t>
  </si>
  <si>
    <t xml:space="preserve">Chk2: amount=qty x gross - disc</t>
  </si>
  <si>
    <t xml:space="preserve">Chk3: VAT=21/121 x amount</t>
  </si>
  <si>
    <t xml:space="preserve">Chk4: net price</t>
  </si>
  <si>
    <t xml:space="preserve">BE98759</t>
  </si>
  <si>
    <t xml:space="preserve">MTG433</t>
  </si>
  <si>
    <t xml:space="preserve">2026-05-04</t>
  </si>
  <si>
    <t xml:space="preserve">19:56</t>
  </si>
  <si>
    <t xml:space="preserve">Diesel</t>
  </si>
  <si>
    <t xml:space="preserve">20:04</t>
  </si>
  <si>
    <t xml:space="preserve">AdBlue</t>
  </si>
  <si>
    <t xml:space="preserve">20:07</t>
  </si>
  <si>
    <t xml:space="preserve">2026-05-06</t>
  </si>
  <si>
    <t xml:space="preserve">19:15</t>
  </si>
  <si>
    <t xml:space="preserve">19:19</t>
  </si>
  <si>
    <t xml:space="preserve">2026-05-09</t>
  </si>
  <si>
    <t xml:space="preserve">12:44</t>
  </si>
  <si>
    <t xml:space="preserve">12:49</t>
  </si>
  <si>
    <t xml:space="preserve">14:20</t>
  </si>
  <si>
    <t xml:space="preserve">14:22</t>
  </si>
  <si>
    <t xml:space="preserve">MZD950</t>
  </si>
  <si>
    <t xml:space="preserve">2026-05-12</t>
  </si>
  <si>
    <t xml:space="preserve">11:30</t>
  </si>
  <si>
    <t xml:space="preserve">MZD970</t>
  </si>
  <si>
    <t xml:space="preserve">2026-05-01</t>
  </si>
  <si>
    <t xml:space="preserve">00:03</t>
  </si>
  <si>
    <t xml:space="preserve">00:11</t>
  </si>
  <si>
    <t xml:space="preserve">2026-05-08</t>
  </si>
  <si>
    <t xml:space="preserve">21:33</t>
  </si>
  <si>
    <t xml:space="preserve">21:42</t>
  </si>
  <si>
    <t xml:space="preserve">21:45</t>
  </si>
  <si>
    <t xml:space="preserve">NGM038</t>
  </si>
  <si>
    <t xml:space="preserve">2026-05-02</t>
  </si>
  <si>
    <t xml:space="preserve">07:02</t>
  </si>
  <si>
    <t xml:space="preserve">07:07</t>
  </si>
  <si>
    <t xml:space="preserve">07:13</t>
  </si>
  <si>
    <t xml:space="preserve">17:46</t>
  </si>
  <si>
    <t xml:space="preserve">17:51</t>
  </si>
  <si>
    <t xml:space="preserve">17:56</t>
  </si>
  <si>
    <t xml:space="preserve">2026-05-14</t>
  </si>
  <si>
    <t xml:space="preserve">16:59</t>
  </si>
  <si>
    <t xml:space="preserve">17:05</t>
  </si>
  <si>
    <t xml:space="preserve">NGM043</t>
  </si>
  <si>
    <t xml:space="preserve">2026-05-11</t>
  </si>
  <si>
    <t xml:space="preserve">06:44</t>
  </si>
  <si>
    <t xml:space="preserve">06:52</t>
  </si>
  <si>
    <t xml:space="preserve">06:59</t>
  </si>
  <si>
    <t xml:space="preserve">NGM601</t>
  </si>
  <si>
    <t xml:space="preserve">05:09</t>
  </si>
  <si>
    <t xml:space="preserve">05:17</t>
  </si>
  <si>
    <t xml:space="preserve">NGM594</t>
  </si>
  <si>
    <t xml:space="preserve">13:51</t>
  </si>
  <si>
    <t xml:space="preserve">13:58</t>
  </si>
  <si>
    <t xml:space="preserve">14:02</t>
  </si>
  <si>
    <t xml:space="preserve">NGM884</t>
  </si>
  <si>
    <t xml:space="preserve">11:47</t>
  </si>
  <si>
    <t xml:space="preserve">11:59</t>
  </si>
  <si>
    <t xml:space="preserve">08:33</t>
  </si>
  <si>
    <t xml:space="preserve">08:42</t>
  </si>
  <si>
    <t xml:space="preserve">NGM883</t>
  </si>
  <si>
    <t xml:space="preserve">2026-05-15</t>
  </si>
  <si>
    <t xml:space="preserve">03:27</t>
  </si>
  <si>
    <t xml:space="preserve">03:31</t>
  </si>
  <si>
    <t xml:space="preserve">NEP680</t>
  </si>
  <si>
    <t xml:space="preserve">09:26</t>
  </si>
  <si>
    <t xml:space="preserve">15:34</t>
  </si>
  <si>
    <t xml:space="preserve">15:41</t>
  </si>
  <si>
    <t xml:space="preserve">MYI227</t>
  </si>
  <si>
    <t xml:space="preserve">10:52</t>
  </si>
  <si>
    <t xml:space="preserve">10:56</t>
  </si>
  <si>
    <t xml:space="preserve">11:02</t>
  </si>
  <si>
    <t xml:space="preserve">04:38</t>
  </si>
  <si>
    <t xml:space="preserve">04:42</t>
  </si>
  <si>
    <t xml:space="preserve">04:48</t>
  </si>
  <si>
    <t xml:space="preserve">2026-05-13</t>
  </si>
  <si>
    <t xml:space="preserve">19:36</t>
  </si>
  <si>
    <t xml:space="preserve">19:45</t>
  </si>
  <si>
    <t xml:space="preserve">MYI228</t>
  </si>
  <si>
    <t xml:space="preserve">2026-05-07</t>
  </si>
  <si>
    <t xml:space="preserve">12:42</t>
  </si>
  <si>
    <t xml:space="preserve">MYI669</t>
  </si>
  <si>
    <t xml:space="preserve">20:27</t>
  </si>
  <si>
    <t xml:space="preserve">20:38</t>
  </si>
  <si>
    <t xml:space="preserve">MJK906</t>
  </si>
  <si>
    <t xml:space="preserve">04:19</t>
  </si>
  <si>
    <t xml:space="preserve">04:30</t>
  </si>
  <si>
    <t xml:space="preserve">NOC558</t>
  </si>
  <si>
    <t xml:space="preserve">10:08</t>
  </si>
  <si>
    <t xml:space="preserve">10:16</t>
  </si>
  <si>
    <t xml:space="preserve">10:21</t>
  </si>
  <si>
    <t xml:space="preserve">13:23</t>
  </si>
  <si>
    <t xml:space="preserve">13:31</t>
  </si>
  <si>
    <t xml:space="preserve">NOC560</t>
  </si>
  <si>
    <t xml:space="preserve">12:27</t>
  </si>
  <si>
    <t xml:space="preserve">12:30</t>
  </si>
  <si>
    <t xml:space="preserve">NOC561</t>
  </si>
  <si>
    <t xml:space="preserve">23:54</t>
  </si>
  <si>
    <t xml:space="preserve">2026-05-05</t>
  </si>
  <si>
    <t xml:space="preserve">00:04</t>
  </si>
  <si>
    <t xml:space="preserve">00:08</t>
  </si>
  <si>
    <t xml:space="preserve">18:22</t>
  </si>
  <si>
    <t xml:space="preserve">18:31</t>
  </si>
  <si>
    <t xml:space="preserve">NOC562</t>
  </si>
  <si>
    <t xml:space="preserve">06:29</t>
  </si>
  <si>
    <t xml:space="preserve">06:37</t>
  </si>
  <si>
    <t xml:space="preserve">06:41</t>
  </si>
  <si>
    <t xml:space="preserve">13:06</t>
  </si>
  <si>
    <t xml:space="preserve">13:15</t>
  </si>
  <si>
    <t xml:space="preserve">13:22</t>
  </si>
  <si>
    <t xml:space="preserve">17:25</t>
  </si>
  <si>
    <t xml:space="preserve">17:34</t>
  </si>
  <si>
    <t xml:space="preserve">NOC563</t>
  </si>
  <si>
    <t xml:space="preserve">05:57</t>
  </si>
  <si>
    <t xml:space="preserve">06:04</t>
  </si>
  <si>
    <t xml:space="preserve">NOC566</t>
  </si>
  <si>
    <t xml:space="preserve">17:21</t>
  </si>
  <si>
    <t xml:space="preserve">15:09</t>
  </si>
  <si>
    <t xml:space="preserve">NOC569</t>
  </si>
  <si>
    <t xml:space="preserve">12:03</t>
  </si>
  <si>
    <t xml:space="preserve">MMC392</t>
  </si>
  <si>
    <t xml:space="preserve">15:10</t>
  </si>
  <si>
    <t xml:space="preserve">15:18</t>
  </si>
  <si>
    <t xml:space="preserve">15:24</t>
  </si>
  <si>
    <t xml:space="preserve">13:48</t>
  </si>
  <si>
    <t xml:space="preserve">13:55</t>
  </si>
  <si>
    <t xml:space="preserve">NGM039</t>
  </si>
  <si>
    <t xml:space="preserve">10:04</t>
  </si>
  <si>
    <t xml:space="preserve">10:10</t>
  </si>
  <si>
    <t xml:space="preserve">09:06</t>
  </si>
  <si>
    <t xml:space="preserve">09:18</t>
  </si>
  <si>
    <t xml:space="preserve">AIB691</t>
  </si>
  <si>
    <t xml:space="preserve">08:04</t>
  </si>
  <si>
    <t xml:space="preserve">08:08</t>
  </si>
  <si>
    <t xml:space="preserve">08:17</t>
  </si>
  <si>
    <t xml:space="preserve">07:25</t>
  </si>
  <si>
    <t xml:space="preserve">07:28</t>
  </si>
  <si>
    <t xml:space="preserve">AIB697</t>
  </si>
  <si>
    <t xml:space="preserve">07:39</t>
  </si>
  <si>
    <t xml:space="preserve">07:47</t>
  </si>
  <si>
    <t xml:space="preserve">07:51</t>
  </si>
  <si>
    <t xml:space="preserve">19:08</t>
  </si>
  <si>
    <t xml:space="preserve">AIB689</t>
  </si>
  <si>
    <t xml:space="preserve">17:43</t>
  </si>
  <si>
    <t xml:space="preserve">17:53</t>
  </si>
  <si>
    <t xml:space="preserve">MZD958</t>
  </si>
  <si>
    <t xml:space="preserve">12:40</t>
  </si>
  <si>
    <t xml:space="preserve">11:41</t>
  </si>
  <si>
    <t xml:space="preserve">17:29</t>
  </si>
  <si>
    <t xml:space="preserve">BE64 Hoogstraten</t>
  </si>
  <si>
    <t xml:space="preserve">BE99954</t>
  </si>
  <si>
    <t xml:space="preserve">2026-05-18</t>
  </si>
  <si>
    <t xml:space="preserve">16:19</t>
  </si>
  <si>
    <t xml:space="preserve">16:24</t>
  </si>
  <si>
    <t xml:space="preserve">16:30</t>
  </si>
  <si>
    <t xml:space="preserve">2026-05-22</t>
  </si>
  <si>
    <t xml:space="preserve">14:44</t>
  </si>
  <si>
    <t xml:space="preserve">14:51</t>
  </si>
  <si>
    <t xml:space="preserve">2026-05-29</t>
  </si>
  <si>
    <t xml:space="preserve">12:35</t>
  </si>
  <si>
    <t xml:space="preserve">MSF043</t>
  </si>
  <si>
    <t xml:space="preserve">2026-05-16</t>
  </si>
  <si>
    <t xml:space="preserve">14:05</t>
  </si>
  <si>
    <t xml:space="preserve">MZD954</t>
  </si>
  <si>
    <t xml:space="preserve">2026-05-26</t>
  </si>
  <si>
    <t xml:space="preserve">06:02</t>
  </si>
  <si>
    <t xml:space="preserve">06:07</t>
  </si>
  <si>
    <t xml:space="preserve">2026-05-20</t>
  </si>
  <si>
    <t xml:space="preserve">18:13</t>
  </si>
  <si>
    <t xml:space="preserve">18:18</t>
  </si>
  <si>
    <t xml:space="preserve">18:28</t>
  </si>
  <si>
    <t xml:space="preserve">2026-05-25</t>
  </si>
  <si>
    <t xml:space="preserve">10:01</t>
  </si>
  <si>
    <t xml:space="preserve">2026-05-30</t>
  </si>
  <si>
    <t xml:space="preserve">07:33</t>
  </si>
  <si>
    <t xml:space="preserve">07:36</t>
  </si>
  <si>
    <t xml:space="preserve">07:42</t>
  </si>
  <si>
    <t xml:space="preserve">2026-05-19</t>
  </si>
  <si>
    <t xml:space="preserve">10:24</t>
  </si>
  <si>
    <t xml:space="preserve">10:27</t>
  </si>
  <si>
    <t xml:space="preserve">2026-05-23</t>
  </si>
  <si>
    <t xml:space="preserve">12:10</t>
  </si>
  <si>
    <t xml:space="preserve">12:17</t>
  </si>
  <si>
    <t xml:space="preserve">14:01</t>
  </si>
  <si>
    <t xml:space="preserve">14:06</t>
  </si>
  <si>
    <t xml:space="preserve">14:10</t>
  </si>
  <si>
    <t xml:space="preserve">07:23</t>
  </si>
  <si>
    <t xml:space="preserve">15:01</t>
  </si>
  <si>
    <t xml:space="preserve">2026-05-21</t>
  </si>
  <si>
    <t xml:space="preserve">05:51</t>
  </si>
  <si>
    <t xml:space="preserve">05:55</t>
  </si>
  <si>
    <t xml:space="preserve">08:37</t>
  </si>
  <si>
    <t xml:space="preserve">08:46</t>
  </si>
  <si>
    <t xml:space="preserve">2026-05-27</t>
  </si>
  <si>
    <t xml:space="preserve">13:11</t>
  </si>
  <si>
    <t xml:space="preserve">07:59</t>
  </si>
  <si>
    <t xml:space="preserve">08:09</t>
  </si>
  <si>
    <t xml:space="preserve">08:36</t>
  </si>
  <si>
    <t xml:space="preserve">08:44</t>
  </si>
  <si>
    <t xml:space="preserve">09:29</t>
  </si>
  <si>
    <t xml:space="preserve">09:36</t>
  </si>
  <si>
    <t xml:space="preserve">16:34</t>
  </si>
  <si>
    <t xml:space="preserve">16:45</t>
  </si>
  <si>
    <t xml:space="preserve">06:51</t>
  </si>
  <si>
    <t xml:space="preserve">07:53</t>
  </si>
  <si>
    <t xml:space="preserve">08:02</t>
  </si>
  <si>
    <t xml:space="preserve">08:05</t>
  </si>
  <si>
    <t xml:space="preserve">11:00</t>
  </si>
  <si>
    <t xml:space="preserve">11:05</t>
  </si>
  <si>
    <t xml:space="preserve">11:11</t>
  </si>
  <si>
    <t xml:space="preserve">19:23</t>
  </si>
  <si>
    <t xml:space="preserve">19:30</t>
  </si>
  <si>
    <t xml:space="preserve">19:35</t>
  </si>
  <si>
    <t xml:space="preserve">19:39</t>
  </si>
  <si>
    <t xml:space="preserve">19:40</t>
  </si>
  <si>
    <t xml:space="preserve">19:46</t>
  </si>
  <si>
    <t xml:space="preserve">18:06</t>
  </si>
  <si>
    <t xml:space="preserve">18:12</t>
  </si>
  <si>
    <t xml:space="preserve">18:19</t>
  </si>
  <si>
    <t xml:space="preserve">2026-05-28</t>
  </si>
  <si>
    <t xml:space="preserve">10:30</t>
  </si>
  <si>
    <t xml:space="preserve">14:36</t>
  </si>
  <si>
    <t xml:space="preserve">14:46</t>
  </si>
  <si>
    <t xml:space="preserve">14:49</t>
  </si>
  <si>
    <t xml:space="preserve">14:52</t>
  </si>
  <si>
    <t xml:space="preserve">14:30</t>
  </si>
  <si>
    <t xml:space="preserve">14:37</t>
  </si>
  <si>
    <t xml:space="preserve">14:47</t>
  </si>
  <si>
    <t xml:space="preserve">14:55</t>
  </si>
  <si>
    <t xml:space="preserve">11:16</t>
  </si>
  <si>
    <t xml:space="preserve">06:58</t>
  </si>
  <si>
    <t xml:space="preserve">17:13</t>
  </si>
  <si>
    <t xml:space="preserve">20:24</t>
  </si>
  <si>
    <t xml:space="preserve">20:06</t>
  </si>
  <si>
    <t xml:space="preserve">11:53</t>
  </si>
  <si>
    <t xml:space="preserve">12:04</t>
  </si>
  <si>
    <t xml:space="preserve">12:08</t>
  </si>
  <si>
    <t xml:space="preserve">09:24</t>
  </si>
  <si>
    <t xml:space="preserve">09:30</t>
  </si>
  <si>
    <t xml:space="preserve">08:32</t>
  </si>
  <si>
    <t xml:space="preserve">13:07</t>
  </si>
  <si>
    <t xml:space="preserve">13:32</t>
  </si>
  <si>
    <t xml:space="preserve">13:40</t>
  </si>
  <si>
    <t xml:space="preserve">05:24</t>
  </si>
  <si>
    <t xml:space="preserve">BEP17 Remicourt</t>
  </si>
  <si>
    <t xml:space="preserve">Parking</t>
  </si>
  <si>
    <t xml:space="preserve">10:12</t>
  </si>
  <si>
    <t xml:space="preserve">10:18</t>
  </si>
  <si>
    <t xml:space="preserve">10:25</t>
  </si>
  <si>
    <t xml:space="preserve">NRE619</t>
  </si>
  <si>
    <t xml:space="preserve">14:08</t>
  </si>
  <si>
    <t xml:space="preserve">09:17</t>
  </si>
  <si>
    <t xml:space="preserve">16:47</t>
  </si>
  <si>
    <t xml:space="preserve">16:53</t>
  </si>
  <si>
    <t xml:space="preserve">10:50</t>
  </si>
  <si>
    <t xml:space="preserve">10:57</t>
  </si>
  <si>
    <t xml:space="preserve">17:28</t>
  </si>
  <si>
    <t xml:space="preserve">17:37</t>
  </si>
  <si>
    <t xml:space="preserve">AIB692</t>
  </si>
  <si>
    <t xml:space="preserve">16:29</t>
  </si>
  <si>
    <t xml:space="preserve">16:41</t>
  </si>
  <si>
    <t xml:space="preserve">10:54</t>
  </si>
  <si>
    <t xml:space="preserve">11:04</t>
  </si>
  <si>
    <t xml:space="preserve">19:16</t>
  </si>
  <si>
    <t xml:space="preserve">19:26</t>
  </si>
  <si>
    <t xml:space="preserve">06:38</t>
  </si>
  <si>
    <t xml:space="preserve">06:48</t>
  </si>
  <si>
    <t xml:space="preserve">06:53</t>
  </si>
  <si>
    <t xml:space="preserve">Check item</t>
  </si>
  <si>
    <t xml:space="preserve">Invoice states</t>
  </si>
  <si>
    <t xml:space="preserve">Calculated</t>
  </si>
  <si>
    <t xml:space="preserve">Diff</t>
  </si>
  <si>
    <t xml:space="preserve">Check</t>
  </si>
  <si>
    <t xml:space="preserve">BE98759 Diesel litres</t>
  </si>
  <si>
    <t xml:space="preserve">BE98759 Diesel discount EUR</t>
  </si>
  <si>
    <t xml:space="preserve">BE98759 Diesel net (excl VAT) EUR</t>
  </si>
  <si>
    <t xml:space="preserve">BE98759 AdBlue litres</t>
  </si>
  <si>
    <t xml:space="preserve">BE98759 AdBlue gross EUR</t>
  </si>
  <si>
    <t xml:space="preserve">BE98759 total discount EUR</t>
  </si>
  <si>
    <t xml:space="preserve">BE98759 total VAT EUR</t>
  </si>
  <si>
    <t xml:space="preserve">BE98759 TOTAL incl VAT EUR (payable)</t>
  </si>
  <si>
    <t xml:space="preserve">BE99954 Diesel litres</t>
  </si>
  <si>
    <t xml:space="preserve">BE99954 Diesel discount EUR</t>
  </si>
  <si>
    <t xml:space="preserve">BE99954 Diesel net (excl VAT) EUR</t>
  </si>
  <si>
    <t xml:space="preserve">BE99954 AdBlue litres</t>
  </si>
  <si>
    <t xml:space="preserve">BE99954 AdBlue gross EUR</t>
  </si>
  <si>
    <t xml:space="preserve">BE99954 Parking gross EUR</t>
  </si>
  <si>
    <t xml:space="preserve">BE99954 total discount EUR</t>
  </si>
  <si>
    <t xml:space="preserve">BE99954 total VAT EUR</t>
  </si>
  <si>
    <t xml:space="preserve">BE99954 TOTAL incl VAT EUR (payable)</t>
  </si>
  <si>
    <t xml:space="preserve">BOTH invoices payable EUR</t>
  </si>
  <si>
    <t xml:space="preserve">Stated card totals: discount</t>
  </si>
  <si>
    <t xml:space="preserve">VAT</t>
  </si>
  <si>
    <t xml:space="preserve">Gross</t>
  </si>
  <si>
    <t xml:space="preserve">Calc discount</t>
  </si>
  <si>
    <t xml:space="preserve">Calc VAT</t>
  </si>
  <si>
    <t xml:space="preserve">Calc gross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</si>
</sst>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734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7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34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15"/>
    <col collapsed="false" customWidth="true" hidden="false" outlineLevel="0" max="7" min="5" style="1" width="12"/>
  </cols>
  <sheetData>
    <row r="1" customFormat="false" ht="15" hidden="false" customHeight="true" outlineLevel="0" collapsed="false">
      <c r="A1" s="2" t="s">
        <v>0</v>
      </c>
    </row>
    <row r="3" customFormat="false" ht="21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true" outlineLevel="0" collapsed="false">
      <c r="A4" s="4" t="s">
        <v>8</v>
      </c>
      <c r="B4" s="5" t="n">
        <f aca="false">SUMPRODUCT((Transactions!$E$2:$E$215=A4)*(Transactions!$F$2:$F$215="Diesel")*Transactions!$G$2:$G$215)</f>
        <v>31202.35</v>
      </c>
      <c r="C4" s="5" t="n">
        <f aca="false">ROUND(SUMPRODUCT((Transactions!$E$2:$E$215=A4)*(Transactions!$F$2:$F$215="Diesel")*(Transactions!$M$2:$M$215-Transactions!$L$2:$L$215)),2)</f>
        <v>49752.39</v>
      </c>
      <c r="D4" s="6" t="n">
        <f aca="false">C4/B4</f>
        <v>1.59450778547129</v>
      </c>
      <c r="E4" s="6" t="n">
        <f aca="false">_xlfn.MINIFS(Transactions!$K$2:$K$215,Transactions!$E$2:$E$215,A4,Transactions!$F$2:$F$215,"Diesel")</f>
        <v>1.4942</v>
      </c>
      <c r="F4" s="6" t="n">
        <f aca="false">_xlfn.MAXIFS(Transactions!$K$2:$K$215,Transactions!$E$2:$E$215,A4,Transactions!$F$2:$F$215,"Diesel")</f>
        <v>1.6653</v>
      </c>
      <c r="G4" s="4" t="s">
        <v>9</v>
      </c>
    </row>
    <row r="5" customFormat="false" ht="15" hidden="false" customHeight="true" outlineLevel="0" collapsed="false">
      <c r="A5" s="4" t="s">
        <v>10</v>
      </c>
      <c r="B5" s="5" t="n">
        <f aca="false">SUMPRODUCT((Transactions!$E$2:$E$215=A5)*(Transactions!$F$2:$F$215="Diesel")*Transactions!$G$2:$G$215)</f>
        <v>7907.9</v>
      </c>
      <c r="C5" s="5" t="n">
        <f aca="false">ROUND(SUMPRODUCT((Transactions!$E$2:$E$215=A5)*(Transactions!$F$2:$F$215="Diesel")*(Transactions!$M$2:$M$215-Transactions!$L$2:$L$215)),2)</f>
        <v>13133.6</v>
      </c>
      <c r="D5" s="6" t="n">
        <f aca="false">C5/B5</f>
        <v>1.66082019246576</v>
      </c>
      <c r="E5" s="6" t="n">
        <f aca="false">_xlfn.MINIFS(Transactions!$K$2:$K$215,Transactions!$E$2:$E$215,A5,Transactions!$F$2:$F$215,"Diesel")</f>
        <v>1.6173</v>
      </c>
      <c r="F5" s="6" t="n">
        <f aca="false">_xlfn.MAXIFS(Transactions!$K$2:$K$215,Transactions!$E$2:$E$215,A5,Transactions!$F$2:$F$215,"Diesel")</f>
        <v>1.7066</v>
      </c>
      <c r="G5" s="4" t="s">
        <v>11</v>
      </c>
    </row>
    <row r="6" customFormat="false" ht="15" hidden="false" customHeight="true" outlineLevel="0" collapsed="false">
      <c r="A6" s="4" t="s">
        <v>12</v>
      </c>
      <c r="B6" s="5" t="n">
        <f aca="false">SUMPRODUCT((Transactions!$E$2:$E$215=A6)*(Transactions!$F$2:$F$215="Diesel")*Transactions!$G$2:$G$215)</f>
        <v>4351.61</v>
      </c>
      <c r="C6" s="5" t="n">
        <f aca="false">ROUND(SUMPRODUCT((Transactions!$E$2:$E$215=A6)*(Transactions!$F$2:$F$215="Diesel")*(Transactions!$M$2:$M$215-Transactions!$L$2:$L$215)),2)</f>
        <v>6513.76</v>
      </c>
      <c r="D6" s="6" t="n">
        <f aca="false">C6/B6</f>
        <v>1.49686208093097</v>
      </c>
      <c r="E6" s="6" t="n">
        <f aca="false">_xlfn.MINIFS(Transactions!$K$2:$K$215,Transactions!$E$2:$E$215,A6,Transactions!$F$2:$F$215,"Diesel")</f>
        <v>1.4942</v>
      </c>
      <c r="F6" s="6" t="n">
        <f aca="false">_xlfn.MAXIFS(Transactions!$K$2:$K$215,Transactions!$E$2:$E$215,A6,Transactions!$F$2:$F$215,"Diesel")</f>
        <v>1.6653</v>
      </c>
      <c r="G6" s="4" t="s">
        <v>9</v>
      </c>
    </row>
    <row r="7" customFormat="false" ht="15" hidden="false" customHeight="true" outlineLevel="0" collapsed="false">
      <c r="A7" s="4" t="s">
        <v>13</v>
      </c>
      <c r="B7" s="5" t="n">
        <f aca="false">SUMPRODUCT((Transactions!$E$2:$E$215=A7)*(Transactions!$F$2:$F$215="Diesel")*Transactions!$G$2:$G$215)</f>
        <v>2121.04</v>
      </c>
      <c r="C7" s="5" t="n">
        <f aca="false">ROUND(SUMPRODUCT((Transactions!$E$2:$E$215=A7)*(Transactions!$F$2:$F$215="Diesel")*(Transactions!$M$2:$M$215-Transactions!$L$2:$L$215)),2)</f>
        <v>3505.51</v>
      </c>
      <c r="D7" s="6" t="n">
        <f aca="false">C7/B7</f>
        <v>1.65273167879908</v>
      </c>
      <c r="E7" s="6" t="n">
        <f aca="false">_xlfn.MINIFS(Transactions!$K$2:$K$215,Transactions!$E$2:$E$215,A7,Transactions!$F$2:$F$215,"Diesel")</f>
        <v>1.5975</v>
      </c>
      <c r="F7" s="6" t="n">
        <f aca="false">_xlfn.MAXIFS(Transactions!$K$2:$K$215,Transactions!$E$2:$E$215,A7,Transactions!$F$2:$F$215,"Diesel")</f>
        <v>1.6826</v>
      </c>
      <c r="G7" s="4" t="s">
        <v>14</v>
      </c>
    </row>
    <row r="8" customFormat="false" ht="15" hidden="false" customHeight="true" outlineLevel="0" collapsed="false">
      <c r="A8" s="4" t="s">
        <v>15</v>
      </c>
      <c r="B8" s="5" t="n">
        <f aca="false">SUMPRODUCT((Transactions!$E$2:$E$215=A8)*(Transactions!$F$2:$F$215="Diesel")*Transactions!$G$2:$G$215)</f>
        <v>716.58</v>
      </c>
      <c r="C8" s="5" t="n">
        <f aca="false">ROUND(SUMPRODUCT((Transactions!$E$2:$E$215=A8)*(Transactions!$F$2:$F$215="Diesel")*(Transactions!$M$2:$M$215-Transactions!$L$2:$L$215)),2)</f>
        <v>1225.75</v>
      </c>
      <c r="D8" s="6" t="n">
        <f aca="false">C8/B8</f>
        <v>1.71055569510732</v>
      </c>
      <c r="E8" s="6" t="n">
        <f aca="false">_xlfn.MINIFS(Transactions!$K$2:$K$215,Transactions!$E$2:$E$215,A8,Transactions!$F$2:$F$215,"Diesel")</f>
        <v>1.7</v>
      </c>
      <c r="F8" s="6" t="n">
        <f aca="false">_xlfn.MAXIFS(Transactions!$K$2:$K$215,Transactions!$E$2:$E$215,A8,Transactions!$F$2:$F$215,"Diesel")</f>
        <v>1.7454</v>
      </c>
      <c r="G8" s="4" t="s">
        <v>16</v>
      </c>
    </row>
    <row r="9" customFormat="false" ht="15" hidden="false" customHeight="true" outlineLevel="0" collapsed="false">
      <c r="A9" s="4" t="s">
        <v>17</v>
      </c>
      <c r="B9" s="5" t="n">
        <f aca="false">SUMPRODUCT((Transactions!$E$2:$E$215=A9)*(Transactions!$F$2:$F$215="Diesel")*Transactions!$G$2:$G$215)</f>
        <v>420</v>
      </c>
      <c r="C9" s="5" t="n">
        <f aca="false">ROUND(SUMPRODUCT((Transactions!$E$2:$E$215=A9)*(Transactions!$F$2:$F$215="Diesel")*(Transactions!$M$2:$M$215-Transactions!$L$2:$L$215)),2)</f>
        <v>676.17</v>
      </c>
      <c r="D9" s="6" t="n">
        <f aca="false">C9/B9</f>
        <v>1.60992857142857</v>
      </c>
      <c r="E9" s="6" t="n">
        <f aca="false">_xlfn.MINIFS(Transactions!$K$2:$K$215,Transactions!$E$2:$E$215,A9,Transactions!$F$2:$F$215,"Diesel")</f>
        <v>1.6099</v>
      </c>
      <c r="F9" s="6" t="n">
        <f aca="false">_xlfn.MAXIFS(Transactions!$K$2:$K$215,Transactions!$E$2:$E$215,A9,Transactions!$F$2:$F$215,"Diesel")</f>
        <v>1.6099</v>
      </c>
      <c r="G9" s="4" t="s">
        <v>18</v>
      </c>
    </row>
    <row r="10" customFormat="false" ht="15" hidden="false" customHeight="true" outlineLevel="0" collapsed="false">
      <c r="A10" s="4" t="s">
        <v>19</v>
      </c>
      <c r="B10" s="5" t="n">
        <f aca="false">SUMPRODUCT((Transactions!$E$2:$E$215=A10)*(Transactions!$F$2:$F$215="Diesel")*Transactions!$G$2:$G$215)</f>
        <v>72</v>
      </c>
      <c r="C10" s="5" t="n">
        <f aca="false">ROUND(SUMPRODUCT((Transactions!$E$2:$E$215=A10)*(Transactions!$F$2:$F$215="Diesel")*(Transactions!$M$2:$M$215-Transactions!$L$2:$L$215)),2)</f>
        <v>114.9</v>
      </c>
      <c r="D10" s="6" t="n">
        <f aca="false">C10/B10</f>
        <v>1.59583333333333</v>
      </c>
      <c r="E10" s="6" t="n">
        <f aca="false">_xlfn.MINIFS(Transactions!$K$2:$K$215,Transactions!$E$2:$E$215,A10,Transactions!$F$2:$F$215,"Diesel")</f>
        <v>1.5958</v>
      </c>
      <c r="F10" s="6" t="n">
        <f aca="false">_xlfn.MAXIFS(Transactions!$K$2:$K$215,Transactions!$E$2:$E$215,A10,Transactions!$F$2:$F$215,"Diesel")</f>
        <v>1.5958</v>
      </c>
      <c r="G10" s="4" t="s">
        <v>20</v>
      </c>
    </row>
    <row r="11" customFormat="false" ht="15" hidden="false" customHeight="true" outlineLevel="0" collapsed="false">
      <c r="A11" s="7" t="s">
        <v>21</v>
      </c>
      <c r="B11" s="8" t="n">
        <f aca="false">SUM(B4:B10)</f>
        <v>46791.48</v>
      </c>
      <c r="C11" s="8" t="n">
        <f aca="false">SUM(C4:C10)</f>
        <v>74922.08</v>
      </c>
      <c r="D11" s="9" t="n">
        <f aca="false">C11/B11</f>
        <v>1.60119064410871</v>
      </c>
      <c r="E11" s="9" t="n">
        <f aca="false">_xlfn.MINIFS(Transactions!$K$2:$K$215,Transactions!$F$2:$F$215,"Diesel")</f>
        <v>1.4942</v>
      </c>
      <c r="F11" s="9" t="n">
        <f aca="false">_xlfn.MAXIFS(Transactions!$K$2:$K$215,Transactions!$F$2:$F$215,"Diesel")</f>
        <v>1.7454</v>
      </c>
      <c r="G11" s="7"/>
    </row>
    <row r="12" customFormat="false" ht="15" hidden="false" customHeight="true" outlineLevel="0" collapsed="false">
      <c r="A12" s="4"/>
      <c r="B12" s="4"/>
      <c r="C12" s="4"/>
      <c r="D12" s="6"/>
      <c r="E12" s="6"/>
      <c r="F12" s="6"/>
      <c r="G12" s="4"/>
    </row>
    <row r="13" customFormat="false" ht="15" hidden="false" customHeight="true" outlineLevel="0" collapsed="false">
      <c r="A13" s="4" t="s">
        <v>22</v>
      </c>
      <c r="B13" s="5" t="n">
        <f aca="false">SUMIF(Transactions!$F$2:$F$215,"AdBlue",Transactions!$G$2:$G$215)</f>
        <v>4529.81</v>
      </c>
      <c r="C13" s="5" t="n">
        <f aca="false">ROUND(SUMPRODUCT((Transactions!$F$2:$F$215="AdBlue")*(Transactions!$M$2:$M$215-Transactions!$L$2:$L$215)),2)</f>
        <v>3094.88</v>
      </c>
      <c r="D13" s="6" t="n">
        <f aca="false">C13/B13</f>
        <v>0.683225124232584</v>
      </c>
      <c r="E13" s="6" t="n">
        <f aca="false">_xlfn.MINIFS(Transactions!$K$2:$K$215,Transactions!$F$2:$F$215,"AdBlue")</f>
        <v>0.6354</v>
      </c>
      <c r="F13" s="6" t="n">
        <f aca="false">_xlfn.MAXIFS(Transactions!$K$2:$K$215,Transactions!$F$2:$F$215,"AdBlue")</f>
        <v>1.0167</v>
      </c>
      <c r="G13" s="4" t="s">
        <v>23</v>
      </c>
    </row>
    <row r="14" customFormat="false" ht="15" hidden="false" customHeight="true" outlineLevel="0" collapsed="false">
      <c r="A14" s="4" t="s">
        <v>24</v>
      </c>
      <c r="B14" s="5" t="n">
        <v>1</v>
      </c>
      <c r="C14" s="5" t="n">
        <v>30.3</v>
      </c>
      <c r="D14" s="6"/>
      <c r="E14" s="6"/>
      <c r="F14" s="6"/>
      <c r="G14" s="4"/>
    </row>
    <row r="15" customFormat="false" ht="15" hidden="false" customHeight="true" outlineLevel="0" collapsed="false">
      <c r="A15" s="4"/>
      <c r="B15" s="4"/>
      <c r="C15" s="4"/>
      <c r="D15" s="6"/>
      <c r="E15" s="6"/>
      <c r="F15" s="6"/>
      <c r="G15" s="4"/>
    </row>
    <row r="16" customFormat="false" ht="15" hidden="false" customHeight="true" outlineLevel="0" collapsed="false">
      <c r="A16" s="7" t="s">
        <v>25</v>
      </c>
      <c r="B16" s="8" t="s">
        <v>2</v>
      </c>
      <c r="C16" s="8" t="s">
        <v>3</v>
      </c>
      <c r="D16" s="9" t="s">
        <v>4</v>
      </c>
      <c r="E16" s="6"/>
      <c r="F16" s="6"/>
      <c r="G16" s="4"/>
    </row>
    <row r="17" customFormat="false" ht="15" hidden="false" customHeight="true" outlineLevel="0" collapsed="false">
      <c r="A17" s="4" t="s">
        <v>26</v>
      </c>
      <c r="B17" s="5" t="n">
        <f aca="false">SUMPRODUCT((Transactions!$A$2:$A$215="BE98759")*(Transactions!$F$2:$F$215="Diesel")*Transactions!$G$2:$G$215)</f>
        <v>22336.88</v>
      </c>
      <c r="C17" s="5" t="n">
        <f aca="false">ROUND(SUMPRODUCT((Transactions!$A$2:$A$215="BE98759")*(Transactions!$F$2:$F$215="Diesel")*(Transactions!$M$2:$M$215-Transactions!$L$2:$L$215)),2)</f>
        <v>36562.03</v>
      </c>
      <c r="D17" s="6" t="n">
        <f aca="false">C17/B17</f>
        <v>1.63684587999756</v>
      </c>
      <c r="E17" s="6"/>
      <c r="F17" s="6"/>
      <c r="G17" s="4"/>
    </row>
    <row r="18" customFormat="false" ht="15" hidden="false" customHeight="true" outlineLevel="0" collapsed="false">
      <c r="A18" s="4" t="s">
        <v>27</v>
      </c>
      <c r="B18" s="5" t="n">
        <f aca="false">SUMPRODUCT((Transactions!$A$2:$A$215="BE99954")*(Transactions!$F$2:$F$215="Diesel")*Transactions!$G$2:$G$215)</f>
        <v>24454.6</v>
      </c>
      <c r="C18" s="5" t="n">
        <f aca="false">ROUND(SUMPRODUCT((Transactions!$A$2:$A$215="BE99954")*(Transactions!$F$2:$F$215="Diesel")*(Transactions!$M$2:$M$215-Transactions!$L$2:$L$215)),2)</f>
        <v>38360.05</v>
      </c>
      <c r="D18" s="6" t="n">
        <f aca="false">C18/B18</f>
        <v>1.56862308113811</v>
      </c>
      <c r="E18" s="6"/>
      <c r="F18" s="6"/>
      <c r="G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22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9"/>
  </cols>
  <sheetData>
    <row r="1" customFormat="false" ht="53.25" hidden="false" customHeight="tru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7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</row>
    <row r="2" customFormat="false" ht="15" hidden="false" customHeight="true" outlineLevel="0" collapsed="false">
      <c r="A2" s="4" t="s">
        <v>44</v>
      </c>
      <c r="B2" s="4" t="s">
        <v>45</v>
      </c>
      <c r="C2" s="4" t="s">
        <v>46</v>
      </c>
      <c r="D2" s="4" t="s">
        <v>47</v>
      </c>
      <c r="E2" s="4" t="s">
        <v>10</v>
      </c>
      <c r="F2" s="4" t="s">
        <v>48</v>
      </c>
      <c r="G2" s="5" t="n">
        <v>427.62</v>
      </c>
      <c r="H2" s="6" t="n">
        <v>2.245</v>
      </c>
      <c r="I2" s="6" t="n">
        <v>0.18</v>
      </c>
      <c r="J2" s="5" t="n">
        <v>76.97</v>
      </c>
      <c r="K2" s="6" t="n">
        <v>1.7066</v>
      </c>
      <c r="L2" s="5" t="n">
        <v>153.25</v>
      </c>
      <c r="M2" s="5" t="n">
        <v>883.04</v>
      </c>
      <c r="N2" s="4" t="str">
        <f aca="false">IF(ABS(G2*I2-J2)&lt;=0.011,"OK","CHECK")</f>
        <v>OK</v>
      </c>
      <c r="O2" s="4" t="str">
        <f aca="false">IF(ABS(ROUND(G2*H2-J2,2)-M2)&lt;=0.011,"OK","CHECK")</f>
        <v>OK</v>
      </c>
      <c r="P2" s="4" t="str">
        <f aca="false">IF(ABS(ROUND(M2*21/121,2)-L2)&lt;=0.011,"OK","CHECK")</f>
        <v>OK</v>
      </c>
      <c r="Q2" s="4" t="str">
        <f aca="false">IF(ABS((M2-L2)/G2-K2)&lt;=0.0006,"OK","CHECK")</f>
        <v>OK</v>
      </c>
    </row>
    <row r="3" customFormat="false" ht="15" hidden="false" customHeight="true" outlineLevel="0" collapsed="false">
      <c r="A3" s="4" t="s">
        <v>44</v>
      </c>
      <c r="B3" s="4" t="s">
        <v>45</v>
      </c>
      <c r="C3" s="4" t="s">
        <v>46</v>
      </c>
      <c r="D3" s="4" t="s">
        <v>49</v>
      </c>
      <c r="E3" s="4" t="s">
        <v>10</v>
      </c>
      <c r="F3" s="4" t="s">
        <v>50</v>
      </c>
      <c r="G3" s="5" t="n">
        <v>79.53</v>
      </c>
      <c r="H3" s="6" t="n">
        <v>0.999</v>
      </c>
      <c r="I3" s="6" t="n">
        <v>0.23</v>
      </c>
      <c r="J3" s="5" t="n">
        <v>18.29</v>
      </c>
      <c r="K3" s="6" t="n">
        <v>0.6356</v>
      </c>
      <c r="L3" s="5" t="n">
        <v>10.61</v>
      </c>
      <c r="M3" s="5" t="n">
        <v>61.16</v>
      </c>
      <c r="N3" s="4" t="str">
        <f aca="false">IF(ABS(G3*I3-J3)&lt;=0.011,"OK","CHECK")</f>
        <v>OK</v>
      </c>
      <c r="O3" s="4" t="str">
        <f aca="false">IF(ABS(ROUND(G3*H3-J3,2)-M3)&lt;=0.011,"OK","CHECK")</f>
        <v>OK</v>
      </c>
      <c r="P3" s="4" t="str">
        <f aca="false">IF(ABS(ROUND(M3*21/121,2)-L3)&lt;=0.011,"OK","CHECK")</f>
        <v>OK</v>
      </c>
      <c r="Q3" s="4" t="str">
        <f aca="false">IF(ABS((M3-L3)/G3-K3)&lt;=0.0006,"OK","CHECK")</f>
        <v>OK</v>
      </c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51</v>
      </c>
      <c r="E4" s="4" t="s">
        <v>10</v>
      </c>
      <c r="F4" s="4" t="s">
        <v>48</v>
      </c>
      <c r="G4" s="5" t="n">
        <v>296.25</v>
      </c>
      <c r="H4" s="6" t="n">
        <v>2.245</v>
      </c>
      <c r="I4" s="6" t="n">
        <v>0.18</v>
      </c>
      <c r="J4" s="5" t="n">
        <v>53.33</v>
      </c>
      <c r="K4" s="6" t="n">
        <v>1.7066</v>
      </c>
      <c r="L4" s="5" t="n">
        <v>106.17</v>
      </c>
      <c r="M4" s="5" t="n">
        <v>611.75</v>
      </c>
      <c r="N4" s="4" t="str">
        <f aca="false">IF(ABS(G4*I4-J4)&lt;=0.011,"OK","CHECK")</f>
        <v>OK</v>
      </c>
      <c r="O4" s="4" t="str">
        <f aca="false">IF(ABS(ROUND(G4*H4-J4,2)-M4)&lt;=0.011,"OK","CHECK")</f>
        <v>OK</v>
      </c>
      <c r="P4" s="4" t="str">
        <f aca="false">IF(ABS(ROUND(M4*21/121,2)-L4)&lt;=0.011,"OK","CHECK")</f>
        <v>OK</v>
      </c>
      <c r="Q4" s="4" t="str">
        <f aca="false">IF(ABS((M4-L4)/G4-K4)&lt;=0.0006,"OK","CHECK")</f>
        <v>OK</v>
      </c>
    </row>
    <row r="5" customFormat="false" ht="15" hidden="false" customHeight="true" outlineLevel="0" collapsed="false">
      <c r="A5" s="4" t="s">
        <v>44</v>
      </c>
      <c r="B5" s="4" t="s">
        <v>45</v>
      </c>
      <c r="C5" s="4" t="s">
        <v>52</v>
      </c>
      <c r="D5" s="4" t="s">
        <v>53</v>
      </c>
      <c r="E5" s="4" t="s">
        <v>8</v>
      </c>
      <c r="F5" s="4" t="s">
        <v>48</v>
      </c>
      <c r="G5" s="5" t="n">
        <v>253.43</v>
      </c>
      <c r="H5" s="6" t="n">
        <v>2.245</v>
      </c>
      <c r="I5" s="6" t="n">
        <v>0.23</v>
      </c>
      <c r="J5" s="5" t="n">
        <v>58.29</v>
      </c>
      <c r="K5" s="6" t="n">
        <v>1.6653</v>
      </c>
      <c r="L5" s="5" t="n">
        <v>88.63</v>
      </c>
      <c r="M5" s="5" t="n">
        <v>510.66</v>
      </c>
      <c r="N5" s="4" t="str">
        <f aca="false">IF(ABS(G5*I5-J5)&lt;=0.011,"OK","CHECK")</f>
        <v>OK</v>
      </c>
      <c r="O5" s="4" t="str">
        <f aca="false">IF(ABS(ROUND(G5*H5-J5,2)-M5)&lt;=0.011,"OK","CHECK")</f>
        <v>OK</v>
      </c>
      <c r="P5" s="4" t="str">
        <f aca="false">IF(ABS(ROUND(M5*21/121,2)-L5)&lt;=0.011,"OK","CHECK")</f>
        <v>OK</v>
      </c>
      <c r="Q5" s="4" t="str">
        <f aca="false">IF(ABS((M5-L5)/G5-K5)&lt;=0.0006,"OK","CHECK")</f>
        <v>OK</v>
      </c>
    </row>
    <row r="6" customFormat="false" ht="15" hidden="false" customHeight="true" outlineLevel="0" collapsed="false">
      <c r="A6" s="4" t="s">
        <v>44</v>
      </c>
      <c r="B6" s="4" t="s">
        <v>45</v>
      </c>
      <c r="C6" s="4" t="s">
        <v>52</v>
      </c>
      <c r="D6" s="4" t="s">
        <v>54</v>
      </c>
      <c r="E6" s="4" t="s">
        <v>8</v>
      </c>
      <c r="F6" s="4" t="s">
        <v>48</v>
      </c>
      <c r="G6" s="5" t="n">
        <v>147.94</v>
      </c>
      <c r="H6" s="6" t="n">
        <v>2.245</v>
      </c>
      <c r="I6" s="6" t="n">
        <v>0.23</v>
      </c>
      <c r="J6" s="5" t="n">
        <v>34.03</v>
      </c>
      <c r="K6" s="6" t="n">
        <v>1.6653</v>
      </c>
      <c r="L6" s="5" t="n">
        <v>51.74</v>
      </c>
      <c r="M6" s="5" t="n">
        <v>298.1</v>
      </c>
      <c r="N6" s="4" t="str">
        <f aca="false">IF(ABS(G6*I6-J6)&lt;=0.011,"OK","CHECK")</f>
        <v>OK</v>
      </c>
      <c r="O6" s="4" t="str">
        <f aca="false">IF(ABS(ROUND(G6*H6-J6,2)-M6)&lt;=0.011,"OK","CHECK")</f>
        <v>OK</v>
      </c>
      <c r="P6" s="4" t="str">
        <f aca="false">IF(ABS(ROUND(M6*21/121,2)-L6)&lt;=0.011,"OK","CHECK")</f>
        <v>OK</v>
      </c>
      <c r="Q6" s="4" t="str">
        <f aca="false">IF(ABS((M6-L6)/G6-K6)&lt;=0.0006,"OK","CHECK")</f>
        <v>OK</v>
      </c>
    </row>
    <row r="7" customFormat="false" ht="15" hidden="false" customHeight="true" outlineLevel="0" collapsed="false">
      <c r="A7" s="4" t="s">
        <v>44</v>
      </c>
      <c r="B7" s="4" t="s">
        <v>45</v>
      </c>
      <c r="C7" s="4" t="s">
        <v>55</v>
      </c>
      <c r="D7" s="4" t="s">
        <v>56</v>
      </c>
      <c r="E7" s="4" t="s">
        <v>10</v>
      </c>
      <c r="F7" s="4" t="s">
        <v>48</v>
      </c>
      <c r="G7" s="5" t="n">
        <v>260.6</v>
      </c>
      <c r="H7" s="6" t="n">
        <v>2.137</v>
      </c>
      <c r="I7" s="6" t="n">
        <v>0.18</v>
      </c>
      <c r="J7" s="5" t="n">
        <v>46.91</v>
      </c>
      <c r="K7" s="6" t="n">
        <v>1.6173</v>
      </c>
      <c r="L7" s="5" t="n">
        <v>88.51</v>
      </c>
      <c r="M7" s="5" t="n">
        <v>509.99</v>
      </c>
      <c r="N7" s="4" t="str">
        <f aca="false">IF(ABS(G7*I7-J7)&lt;=0.011,"OK","CHECK")</f>
        <v>OK</v>
      </c>
      <c r="O7" s="4" t="str">
        <f aca="false">IF(ABS(ROUND(G7*H7-J7,2)-M7)&lt;=0.011,"OK","CHECK")</f>
        <v>OK</v>
      </c>
      <c r="P7" s="4" t="str">
        <f aca="false">IF(ABS(ROUND(M7*21/121,2)-L7)&lt;=0.011,"OK","CHECK")</f>
        <v>OK</v>
      </c>
      <c r="Q7" s="4" t="str">
        <f aca="false">IF(ABS((M7-L7)/G7-K7)&lt;=0.0006,"OK","CHECK")</f>
        <v>OK</v>
      </c>
    </row>
    <row r="8" customFormat="false" ht="15" hidden="false" customHeight="true" outlineLevel="0" collapsed="false">
      <c r="A8" s="4" t="s">
        <v>44</v>
      </c>
      <c r="B8" s="4" t="s">
        <v>45</v>
      </c>
      <c r="C8" s="4" t="s">
        <v>55</v>
      </c>
      <c r="D8" s="4" t="s">
        <v>57</v>
      </c>
      <c r="E8" s="4" t="s">
        <v>10</v>
      </c>
      <c r="F8" s="4" t="s">
        <v>50</v>
      </c>
      <c r="G8" s="5" t="n">
        <v>54.99</v>
      </c>
      <c r="H8" s="6" t="n">
        <v>0.999</v>
      </c>
      <c r="I8" s="6" t="n">
        <v>0.23</v>
      </c>
      <c r="J8" s="5" t="n">
        <v>12.65</v>
      </c>
      <c r="K8" s="6" t="n">
        <v>0.6356</v>
      </c>
      <c r="L8" s="5" t="n">
        <v>7.34</v>
      </c>
      <c r="M8" s="5" t="n">
        <v>42.29</v>
      </c>
      <c r="N8" s="4" t="str">
        <f aca="false">IF(ABS(G8*I8-J8)&lt;=0.011,"OK","CHECK")</f>
        <v>OK</v>
      </c>
      <c r="O8" s="4" t="str">
        <f aca="false">IF(ABS(ROUND(G8*H8-J8,2)-M8)&lt;=0.011,"OK","CHECK")</f>
        <v>OK</v>
      </c>
      <c r="P8" s="4" t="str">
        <f aca="false">IF(ABS(ROUND(M8*21/121,2)-L8)&lt;=0.011,"OK","CHECK")</f>
        <v>OK</v>
      </c>
      <c r="Q8" s="4" t="str">
        <f aca="false">IF(ABS((M8-L8)/G8-K8)&lt;=0.0006,"OK","CHECK")</f>
        <v>OK</v>
      </c>
    </row>
    <row r="9" customFormat="false" ht="15" hidden="false" customHeight="true" outlineLevel="0" collapsed="false">
      <c r="A9" s="4" t="s">
        <v>44</v>
      </c>
      <c r="B9" s="4" t="s">
        <v>45</v>
      </c>
      <c r="C9" s="4" t="s">
        <v>55</v>
      </c>
      <c r="D9" s="4" t="s">
        <v>58</v>
      </c>
      <c r="E9" s="4" t="s">
        <v>10</v>
      </c>
      <c r="F9" s="4" t="s">
        <v>48</v>
      </c>
      <c r="G9" s="5" t="n">
        <v>77.21</v>
      </c>
      <c r="H9" s="6" t="n">
        <v>2.137</v>
      </c>
      <c r="I9" s="6" t="n">
        <v>0.18</v>
      </c>
      <c r="J9" s="5" t="n">
        <v>13.9</v>
      </c>
      <c r="K9" s="6" t="n">
        <v>1.6174</v>
      </c>
      <c r="L9" s="5" t="n">
        <v>26.22</v>
      </c>
      <c r="M9" s="5" t="n">
        <v>151.1</v>
      </c>
      <c r="N9" s="4" t="str">
        <f aca="false">IF(ABS(G9*I9-J9)&lt;=0.011,"OK","CHECK")</f>
        <v>OK</v>
      </c>
      <c r="O9" s="4" t="str">
        <f aca="false">IF(ABS(ROUND(G9*H9-J9,2)-M9)&lt;=0.011,"OK","CHECK")</f>
        <v>OK</v>
      </c>
      <c r="P9" s="4" t="str">
        <f aca="false">IF(ABS(ROUND(M9*21/121,2)-L9)&lt;=0.011,"OK","CHECK")</f>
        <v>OK</v>
      </c>
      <c r="Q9" s="4" t="str">
        <f aca="false">IF(ABS((M9-L9)/G9-K9)&lt;=0.0006,"OK","CHECK")</f>
        <v>OK</v>
      </c>
    </row>
    <row r="10" customFormat="false" ht="15" hidden="false" customHeight="true" outlineLevel="0" collapsed="false">
      <c r="A10" s="4" t="s">
        <v>44</v>
      </c>
      <c r="B10" s="4" t="s">
        <v>45</v>
      </c>
      <c r="C10" s="4" t="s">
        <v>55</v>
      </c>
      <c r="D10" s="4" t="s">
        <v>59</v>
      </c>
      <c r="E10" s="4" t="s">
        <v>10</v>
      </c>
      <c r="F10" s="4" t="s">
        <v>48</v>
      </c>
      <c r="G10" s="5" t="n">
        <v>57.87</v>
      </c>
      <c r="H10" s="6" t="n">
        <v>2.137</v>
      </c>
      <c r="I10" s="6" t="n">
        <v>0.18</v>
      </c>
      <c r="J10" s="5" t="n">
        <v>10.42</v>
      </c>
      <c r="K10" s="6" t="n">
        <v>1.6174</v>
      </c>
      <c r="L10" s="5" t="n">
        <v>19.65</v>
      </c>
      <c r="M10" s="5" t="n">
        <v>113.25</v>
      </c>
      <c r="N10" s="4" t="str">
        <f aca="false">IF(ABS(G10*I10-J10)&lt;=0.011,"OK","CHECK")</f>
        <v>OK</v>
      </c>
      <c r="O10" s="4" t="str">
        <f aca="false">IF(ABS(ROUND(G10*H10-J10,2)-M10)&lt;=0.011,"OK","CHECK")</f>
        <v>OK</v>
      </c>
      <c r="P10" s="4" t="str">
        <f aca="false">IF(ABS(ROUND(M10*21/121,2)-L10)&lt;=0.011,"OK","CHECK")</f>
        <v>OK</v>
      </c>
      <c r="Q10" s="4" t="str">
        <f aca="false">IF(ABS((M10-L10)/G10-K10)&lt;=0.0006,"OK","CHECK")</f>
        <v>OK</v>
      </c>
    </row>
    <row r="11" customFormat="false" ht="15" hidden="false" customHeight="true" outlineLevel="0" collapsed="false">
      <c r="A11" s="4" t="s">
        <v>44</v>
      </c>
      <c r="B11" s="4" t="s">
        <v>60</v>
      </c>
      <c r="C11" s="4" t="s">
        <v>61</v>
      </c>
      <c r="D11" s="4" t="s">
        <v>62</v>
      </c>
      <c r="E11" s="4" t="s">
        <v>8</v>
      </c>
      <c r="F11" s="4" t="s">
        <v>50</v>
      </c>
      <c r="G11" s="5" t="n">
        <v>45.94</v>
      </c>
      <c r="H11" s="6" t="n">
        <v>1.0237</v>
      </c>
      <c r="I11" s="6" t="n">
        <v>0.22</v>
      </c>
      <c r="J11" s="5" t="n">
        <v>10.11</v>
      </c>
      <c r="K11" s="6" t="n">
        <v>0.6641</v>
      </c>
      <c r="L11" s="5" t="n">
        <v>6.41</v>
      </c>
      <c r="M11" s="5" t="n">
        <v>36.92</v>
      </c>
      <c r="N11" s="4" t="str">
        <f aca="false">IF(ABS(G11*I11-J11)&lt;=0.011,"OK","CHECK")</f>
        <v>OK</v>
      </c>
      <c r="O11" s="4" t="str">
        <f aca="false">IF(ABS(ROUND(G11*H11-J11,2)-M11)&lt;=0.011,"OK","CHECK")</f>
        <v>OK</v>
      </c>
      <c r="P11" s="4" t="str">
        <f aca="false">IF(ABS(ROUND(M11*21/121,2)-L11)&lt;=0.011,"OK","CHECK")</f>
        <v>OK</v>
      </c>
      <c r="Q11" s="4" t="str">
        <f aca="false">IF(ABS((M11-L11)/G11-K11)&lt;=0.0006,"OK","CHECK")</f>
        <v>OK</v>
      </c>
    </row>
    <row r="12" customFormat="false" ht="15" hidden="false" customHeight="true" outlineLevel="0" collapsed="false">
      <c r="A12" s="4" t="s">
        <v>44</v>
      </c>
      <c r="B12" s="4" t="s">
        <v>63</v>
      </c>
      <c r="C12" s="4" t="s">
        <v>64</v>
      </c>
      <c r="D12" s="4" t="s">
        <v>65</v>
      </c>
      <c r="E12" s="4" t="s">
        <v>8</v>
      </c>
      <c r="F12" s="4" t="s">
        <v>48</v>
      </c>
      <c r="G12" s="5" t="n">
        <v>435.11</v>
      </c>
      <c r="H12" s="6" t="n">
        <v>2.245</v>
      </c>
      <c r="I12" s="6" t="n">
        <v>0.23</v>
      </c>
      <c r="J12" s="5" t="n">
        <v>100.08</v>
      </c>
      <c r="K12" s="6" t="n">
        <v>1.6653</v>
      </c>
      <c r="L12" s="5" t="n">
        <v>152.16</v>
      </c>
      <c r="M12" s="5" t="n">
        <v>876.74</v>
      </c>
      <c r="N12" s="4" t="str">
        <f aca="false">IF(ABS(G12*I12-J12)&lt;=0.011,"OK","CHECK")</f>
        <v>OK</v>
      </c>
      <c r="O12" s="4" t="str">
        <f aca="false">IF(ABS(ROUND(G12*H12-J12,2)-M12)&lt;=0.011,"OK","CHECK")</f>
        <v>OK</v>
      </c>
      <c r="P12" s="4" t="str">
        <f aca="false">IF(ABS(ROUND(M12*21/121,2)-L12)&lt;=0.011,"OK","CHECK")</f>
        <v>OK</v>
      </c>
      <c r="Q12" s="4" t="str">
        <f aca="false">IF(ABS((M12-L12)/G12-K12)&lt;=0.0006,"OK","CHECK")</f>
        <v>OK</v>
      </c>
    </row>
    <row r="13" customFormat="false" ht="15" hidden="false" customHeight="true" outlineLevel="0" collapsed="false">
      <c r="A13" s="4" t="s">
        <v>44</v>
      </c>
      <c r="B13" s="4" t="s">
        <v>63</v>
      </c>
      <c r="C13" s="4" t="s">
        <v>64</v>
      </c>
      <c r="D13" s="4" t="s">
        <v>66</v>
      </c>
      <c r="E13" s="4" t="s">
        <v>8</v>
      </c>
      <c r="F13" s="4" t="s">
        <v>50</v>
      </c>
      <c r="G13" s="5" t="n">
        <v>29</v>
      </c>
      <c r="H13" s="6" t="n">
        <v>1.0237</v>
      </c>
      <c r="I13" s="6" t="n">
        <v>0.22</v>
      </c>
      <c r="J13" s="5" t="n">
        <v>6.38</v>
      </c>
      <c r="K13" s="6" t="n">
        <v>0.6641</v>
      </c>
      <c r="L13" s="5" t="n">
        <v>4.05</v>
      </c>
      <c r="M13" s="5" t="n">
        <v>23.31</v>
      </c>
      <c r="N13" s="4" t="str">
        <f aca="false">IF(ABS(G13*I13-J13)&lt;=0.011,"OK","CHECK")</f>
        <v>OK</v>
      </c>
      <c r="O13" s="4" t="str">
        <f aca="false">IF(ABS(ROUND(G13*H13-J13,2)-M13)&lt;=0.011,"OK","CHECK")</f>
        <v>OK</v>
      </c>
      <c r="P13" s="4" t="str">
        <f aca="false">IF(ABS(ROUND(M13*21/121,2)-L13)&lt;=0.011,"OK","CHECK")</f>
        <v>OK</v>
      </c>
      <c r="Q13" s="4" t="str">
        <f aca="false">IF(ABS((M13-L13)/G13-K13)&lt;=0.0006,"OK","CHECK")</f>
        <v>OK</v>
      </c>
    </row>
    <row r="14" customFormat="false" ht="15" hidden="false" customHeight="true" outlineLevel="0" collapsed="false">
      <c r="A14" s="4" t="s">
        <v>44</v>
      </c>
      <c r="B14" s="4" t="s">
        <v>63</v>
      </c>
      <c r="C14" s="4" t="s">
        <v>67</v>
      </c>
      <c r="D14" s="4" t="s">
        <v>68</v>
      </c>
      <c r="E14" s="4" t="s">
        <v>13</v>
      </c>
      <c r="F14" s="4" t="s">
        <v>48</v>
      </c>
      <c r="G14" s="5" t="n">
        <v>481.01</v>
      </c>
      <c r="H14" s="6" t="n">
        <v>2.137</v>
      </c>
      <c r="I14" s="6" t="n">
        <v>0.105</v>
      </c>
      <c r="J14" s="5" t="n">
        <v>50.51</v>
      </c>
      <c r="K14" s="6" t="n">
        <v>1.6793</v>
      </c>
      <c r="L14" s="5" t="n">
        <v>169.63</v>
      </c>
      <c r="M14" s="5" t="n">
        <v>977.41</v>
      </c>
      <c r="N14" s="4" t="str">
        <f aca="false">IF(ABS(G14*I14-J14)&lt;=0.011,"OK","CHECK")</f>
        <v>OK</v>
      </c>
      <c r="O14" s="4" t="str">
        <f aca="false">IF(ABS(ROUND(G14*H14-J14,2)-M14)&lt;=0.011,"OK","CHECK")</f>
        <v>OK</v>
      </c>
      <c r="P14" s="4" t="str">
        <f aca="false">IF(ABS(ROUND(M14*21/121,2)-L14)&lt;=0.011,"OK","CHECK")</f>
        <v>OK</v>
      </c>
      <c r="Q14" s="4" t="str">
        <f aca="false">IF(ABS((M14-L14)/G14-K14)&lt;=0.0006,"OK","CHECK")</f>
        <v>OK</v>
      </c>
    </row>
    <row r="15" customFormat="false" ht="15" hidden="false" customHeight="true" outlineLevel="0" collapsed="false">
      <c r="A15" s="4" t="s">
        <v>44</v>
      </c>
      <c r="B15" s="4" t="s">
        <v>63</v>
      </c>
      <c r="C15" s="4" t="s">
        <v>67</v>
      </c>
      <c r="D15" s="4" t="s">
        <v>69</v>
      </c>
      <c r="E15" s="4" t="s">
        <v>13</v>
      </c>
      <c r="F15" s="4" t="s">
        <v>48</v>
      </c>
      <c r="G15" s="5" t="n">
        <v>200.04</v>
      </c>
      <c r="H15" s="6" t="n">
        <v>2.137</v>
      </c>
      <c r="I15" s="6" t="n">
        <v>0.105</v>
      </c>
      <c r="J15" s="5" t="n">
        <v>21</v>
      </c>
      <c r="K15" s="6" t="n">
        <v>1.6794</v>
      </c>
      <c r="L15" s="5" t="n">
        <v>70.55</v>
      </c>
      <c r="M15" s="5" t="n">
        <v>406.49</v>
      </c>
      <c r="N15" s="4" t="str">
        <f aca="false">IF(ABS(G15*I15-J15)&lt;=0.011,"OK","CHECK")</f>
        <v>OK</v>
      </c>
      <c r="O15" s="4" t="str">
        <f aca="false">IF(ABS(ROUND(G15*H15-J15,2)-M15)&lt;=0.011,"OK","CHECK")</f>
        <v>OK</v>
      </c>
      <c r="P15" s="4" t="str">
        <f aca="false">IF(ABS(ROUND(M15*21/121,2)-L15)&lt;=0.011,"OK","CHECK")</f>
        <v>OK</v>
      </c>
      <c r="Q15" s="4" t="str">
        <f aca="false">IF(ABS((M15-L15)/G15-K15)&lt;=0.0006,"OK","CHECK")</f>
        <v>OK</v>
      </c>
    </row>
    <row r="16" customFormat="false" ht="15" hidden="false" customHeight="true" outlineLevel="0" collapsed="false">
      <c r="A16" s="4" t="s">
        <v>44</v>
      </c>
      <c r="B16" s="4" t="s">
        <v>63</v>
      </c>
      <c r="C16" s="4" t="s">
        <v>67</v>
      </c>
      <c r="D16" s="4" t="s">
        <v>70</v>
      </c>
      <c r="E16" s="4" t="s">
        <v>13</v>
      </c>
      <c r="F16" s="4" t="s">
        <v>50</v>
      </c>
      <c r="G16" s="5" t="n">
        <v>26</v>
      </c>
      <c r="H16" s="6" t="n">
        <v>1.0237</v>
      </c>
      <c r="I16" s="6" t="n">
        <v>0.22</v>
      </c>
      <c r="J16" s="5" t="n">
        <v>5.72</v>
      </c>
      <c r="K16" s="6" t="n">
        <v>0.6642</v>
      </c>
      <c r="L16" s="5" t="n">
        <v>3.63</v>
      </c>
      <c r="M16" s="5" t="n">
        <v>20.9</v>
      </c>
      <c r="N16" s="4" t="str">
        <f aca="false">IF(ABS(G16*I16-J16)&lt;=0.011,"OK","CHECK")</f>
        <v>OK</v>
      </c>
      <c r="O16" s="4" t="str">
        <f aca="false">IF(ABS(ROUND(G16*H16-J16,2)-M16)&lt;=0.011,"OK","CHECK")</f>
        <v>OK</v>
      </c>
      <c r="P16" s="4" t="str">
        <f aca="false">IF(ABS(ROUND(M16*21/121,2)-L16)&lt;=0.011,"OK","CHECK")</f>
        <v>OK</v>
      </c>
      <c r="Q16" s="4" t="str">
        <f aca="false">IF(ABS((M16-L16)/G16-K16)&lt;=0.0006,"OK","CHECK")</f>
        <v>OK</v>
      </c>
    </row>
    <row r="17" customFormat="false" ht="15" hidden="false" customHeight="true" outlineLevel="0" collapsed="false">
      <c r="A17" s="4" t="s">
        <v>44</v>
      </c>
      <c r="B17" s="4" t="s">
        <v>71</v>
      </c>
      <c r="C17" s="4" t="s">
        <v>72</v>
      </c>
      <c r="D17" s="4" t="s">
        <v>73</v>
      </c>
      <c r="E17" s="4" t="s">
        <v>10</v>
      </c>
      <c r="F17" s="4" t="s">
        <v>48</v>
      </c>
      <c r="G17" s="5" t="n">
        <v>285</v>
      </c>
      <c r="H17" s="6" t="n">
        <v>2.245</v>
      </c>
      <c r="I17" s="6" t="n">
        <v>0.18</v>
      </c>
      <c r="J17" s="5" t="n">
        <v>51.3</v>
      </c>
      <c r="K17" s="6" t="n">
        <v>1.7066</v>
      </c>
      <c r="L17" s="5" t="n">
        <v>102.14</v>
      </c>
      <c r="M17" s="5" t="n">
        <v>588.53</v>
      </c>
      <c r="N17" s="4" t="str">
        <f aca="false">IF(ABS(G17*I17-J17)&lt;=0.011,"OK","CHECK")</f>
        <v>OK</v>
      </c>
      <c r="O17" s="4" t="str">
        <f aca="false">IF(ABS(ROUND(G17*H17-J17,2)-M17)&lt;=0.011,"OK","CHECK")</f>
        <v>OK</v>
      </c>
      <c r="P17" s="4" t="str">
        <f aca="false">IF(ABS(ROUND(M17*21/121,2)-L17)&lt;=0.011,"OK","CHECK")</f>
        <v>OK</v>
      </c>
      <c r="Q17" s="4" t="str">
        <f aca="false">IF(ABS((M17-L17)/G17-K17)&lt;=0.0006,"OK","CHECK")</f>
        <v>OK</v>
      </c>
    </row>
    <row r="18" customFormat="false" ht="15" hidden="false" customHeight="true" outlineLevel="0" collapsed="false">
      <c r="A18" s="4" t="s">
        <v>44</v>
      </c>
      <c r="B18" s="4" t="s">
        <v>71</v>
      </c>
      <c r="C18" s="4" t="s">
        <v>72</v>
      </c>
      <c r="D18" s="4" t="s">
        <v>74</v>
      </c>
      <c r="E18" s="4" t="s">
        <v>10</v>
      </c>
      <c r="F18" s="4" t="s">
        <v>48</v>
      </c>
      <c r="G18" s="5" t="n">
        <v>185.09</v>
      </c>
      <c r="H18" s="6" t="n">
        <v>2.245</v>
      </c>
      <c r="I18" s="6" t="n">
        <v>0.18</v>
      </c>
      <c r="J18" s="5" t="n">
        <v>33.32</v>
      </c>
      <c r="K18" s="6" t="n">
        <v>1.7066</v>
      </c>
      <c r="L18" s="5" t="n">
        <v>66.33</v>
      </c>
      <c r="M18" s="5" t="n">
        <v>382.21</v>
      </c>
      <c r="N18" s="4" t="str">
        <f aca="false">IF(ABS(G18*I18-J18)&lt;=0.011,"OK","CHECK")</f>
        <v>OK</v>
      </c>
      <c r="O18" s="4" t="str">
        <f aca="false">IF(ABS(ROUND(G18*H18-J18,2)-M18)&lt;=0.011,"OK","CHECK")</f>
        <v>OK</v>
      </c>
      <c r="P18" s="4" t="str">
        <f aca="false">IF(ABS(ROUND(M18*21/121,2)-L18)&lt;=0.011,"OK","CHECK")</f>
        <v>OK</v>
      </c>
      <c r="Q18" s="4" t="str">
        <f aca="false">IF(ABS((M18-L18)/G18-K18)&lt;=0.0006,"OK","CHECK")</f>
        <v>OK</v>
      </c>
    </row>
    <row r="19" customFormat="false" ht="15" hidden="false" customHeight="true" outlineLevel="0" collapsed="false">
      <c r="A19" s="4" t="s">
        <v>44</v>
      </c>
      <c r="B19" s="4" t="s">
        <v>71</v>
      </c>
      <c r="C19" s="4" t="s">
        <v>72</v>
      </c>
      <c r="D19" s="4" t="s">
        <v>75</v>
      </c>
      <c r="E19" s="4" t="s">
        <v>10</v>
      </c>
      <c r="F19" s="4" t="s">
        <v>50</v>
      </c>
      <c r="G19" s="5" t="n">
        <v>50</v>
      </c>
      <c r="H19" s="6" t="n">
        <v>0.999</v>
      </c>
      <c r="I19" s="6" t="n">
        <v>0.23</v>
      </c>
      <c r="J19" s="5" t="n">
        <v>11.5</v>
      </c>
      <c r="K19" s="6" t="n">
        <v>0.6356</v>
      </c>
      <c r="L19" s="5" t="n">
        <v>6.67</v>
      </c>
      <c r="M19" s="5" t="n">
        <v>38.45</v>
      </c>
      <c r="N19" s="4" t="str">
        <f aca="false">IF(ABS(G19*I19-J19)&lt;=0.011,"OK","CHECK")</f>
        <v>OK</v>
      </c>
      <c r="O19" s="4" t="str">
        <f aca="false">IF(ABS(ROUND(G19*H19-J19,2)-M19)&lt;=0.011,"OK","CHECK")</f>
        <v>OK</v>
      </c>
      <c r="P19" s="4" t="str">
        <f aca="false">IF(ABS(ROUND(M19*21/121,2)-L19)&lt;=0.011,"OK","CHECK")</f>
        <v>OK</v>
      </c>
      <c r="Q19" s="4" t="str">
        <f aca="false">IF(ABS((M19-L19)/G19-K19)&lt;=0.0006,"OK","CHECK")</f>
        <v>OK</v>
      </c>
    </row>
    <row r="20" customFormat="false" ht="15" hidden="false" customHeight="true" outlineLevel="0" collapsed="false">
      <c r="A20" s="4" t="s">
        <v>44</v>
      </c>
      <c r="B20" s="4" t="s">
        <v>71</v>
      </c>
      <c r="C20" s="4" t="s">
        <v>67</v>
      </c>
      <c r="D20" s="4" t="s">
        <v>76</v>
      </c>
      <c r="E20" s="4" t="s">
        <v>10</v>
      </c>
      <c r="F20" s="4" t="s">
        <v>48</v>
      </c>
      <c r="G20" s="5" t="n">
        <v>287</v>
      </c>
      <c r="H20" s="6" t="n">
        <v>2.137</v>
      </c>
      <c r="I20" s="6" t="n">
        <v>0.18</v>
      </c>
      <c r="J20" s="5" t="n">
        <v>51.66</v>
      </c>
      <c r="K20" s="6" t="n">
        <v>1.6174</v>
      </c>
      <c r="L20" s="5" t="n">
        <v>97.48</v>
      </c>
      <c r="M20" s="5" t="n">
        <v>561.66</v>
      </c>
      <c r="N20" s="4" t="str">
        <f aca="false">IF(ABS(G20*I20-J20)&lt;=0.011,"OK","CHECK")</f>
        <v>OK</v>
      </c>
      <c r="O20" s="4" t="str">
        <f aca="false">IF(ABS(ROUND(G20*H20-J20,2)-M20)&lt;=0.011,"OK","CHECK")</f>
        <v>OK</v>
      </c>
      <c r="P20" s="4" t="str">
        <f aca="false">IF(ABS(ROUND(M20*21/121,2)-L20)&lt;=0.011,"OK","CHECK")</f>
        <v>OK</v>
      </c>
      <c r="Q20" s="4" t="str">
        <f aca="false">IF(ABS((M20-L20)/G20-K20)&lt;=0.0006,"OK","CHECK")</f>
        <v>OK</v>
      </c>
    </row>
    <row r="21" customFormat="false" ht="15" hidden="false" customHeight="true" outlineLevel="0" collapsed="false">
      <c r="A21" s="4" t="s">
        <v>44</v>
      </c>
      <c r="B21" s="4" t="s">
        <v>71</v>
      </c>
      <c r="C21" s="4" t="s">
        <v>67</v>
      </c>
      <c r="D21" s="4" t="s">
        <v>77</v>
      </c>
      <c r="E21" s="4" t="s">
        <v>10</v>
      </c>
      <c r="F21" s="4" t="s">
        <v>50</v>
      </c>
      <c r="G21" s="5" t="n">
        <v>72.03</v>
      </c>
      <c r="H21" s="6" t="n">
        <v>0.999</v>
      </c>
      <c r="I21" s="6" t="n">
        <v>0.23</v>
      </c>
      <c r="J21" s="5" t="n">
        <v>16.57</v>
      </c>
      <c r="K21" s="6" t="n">
        <v>0.6356</v>
      </c>
      <c r="L21" s="5" t="n">
        <v>9.61</v>
      </c>
      <c r="M21" s="5" t="n">
        <v>55.39</v>
      </c>
      <c r="N21" s="4" t="str">
        <f aca="false">IF(ABS(G21*I21-J21)&lt;=0.011,"OK","CHECK")</f>
        <v>OK</v>
      </c>
      <c r="O21" s="4" t="str">
        <f aca="false">IF(ABS(ROUND(G21*H21-J21,2)-M21)&lt;=0.011,"OK","CHECK")</f>
        <v>OK</v>
      </c>
      <c r="P21" s="4" t="str">
        <f aca="false">IF(ABS(ROUND(M21*21/121,2)-L21)&lt;=0.011,"OK","CHECK")</f>
        <v>OK</v>
      </c>
      <c r="Q21" s="4" t="str">
        <f aca="false">IF(ABS((M21-L21)/G21-K21)&lt;=0.0006,"OK","CHECK")</f>
        <v>OK</v>
      </c>
    </row>
    <row r="22" customFormat="false" ht="15" hidden="false" customHeight="true" outlineLevel="0" collapsed="false">
      <c r="A22" s="4" t="s">
        <v>44</v>
      </c>
      <c r="B22" s="4" t="s">
        <v>71</v>
      </c>
      <c r="C22" s="4" t="s">
        <v>67</v>
      </c>
      <c r="D22" s="4" t="s">
        <v>78</v>
      </c>
      <c r="E22" s="4" t="s">
        <v>10</v>
      </c>
      <c r="F22" s="4" t="s">
        <v>48</v>
      </c>
      <c r="G22" s="5" t="n">
        <v>376.01</v>
      </c>
      <c r="H22" s="6" t="n">
        <v>2.137</v>
      </c>
      <c r="I22" s="6" t="n">
        <v>0.18</v>
      </c>
      <c r="J22" s="5" t="n">
        <v>67.68</v>
      </c>
      <c r="K22" s="6" t="n">
        <v>1.6174</v>
      </c>
      <c r="L22" s="5" t="n">
        <v>127.71</v>
      </c>
      <c r="M22" s="5" t="n">
        <v>735.85</v>
      </c>
      <c r="N22" s="4" t="str">
        <f aca="false">IF(ABS(G22*I22-J22)&lt;=0.011,"OK","CHECK")</f>
        <v>OK</v>
      </c>
      <c r="O22" s="4" t="str">
        <f aca="false">IF(ABS(ROUND(G22*H22-J22,2)-M22)&lt;=0.011,"OK","CHECK")</f>
        <v>OK</v>
      </c>
      <c r="P22" s="4" t="str">
        <f aca="false">IF(ABS(ROUND(M22*21/121,2)-L22)&lt;=0.011,"OK","CHECK")</f>
        <v>OK</v>
      </c>
      <c r="Q22" s="4" t="str">
        <f aca="false">IF(ABS((M22-L22)/G22-K22)&lt;=0.0006,"OK","CHECK")</f>
        <v>OK</v>
      </c>
    </row>
    <row r="23" customFormat="false" ht="15" hidden="false" customHeight="true" outlineLevel="0" collapsed="false">
      <c r="A23" s="4" t="s">
        <v>44</v>
      </c>
      <c r="B23" s="4" t="s">
        <v>71</v>
      </c>
      <c r="C23" s="4" t="s">
        <v>79</v>
      </c>
      <c r="D23" s="4" t="s">
        <v>80</v>
      </c>
      <c r="E23" s="4" t="s">
        <v>8</v>
      </c>
      <c r="F23" s="4" t="s">
        <v>50</v>
      </c>
      <c r="G23" s="5" t="n">
        <v>58.2</v>
      </c>
      <c r="H23" s="6" t="n">
        <v>1.0237</v>
      </c>
      <c r="I23" s="6" t="n">
        <v>0.22</v>
      </c>
      <c r="J23" s="5" t="n">
        <v>12.8</v>
      </c>
      <c r="K23" s="6" t="n">
        <v>0.6643</v>
      </c>
      <c r="L23" s="5" t="n">
        <v>8.12</v>
      </c>
      <c r="M23" s="5" t="n">
        <v>46.78</v>
      </c>
      <c r="N23" s="4" t="str">
        <f aca="false">IF(ABS(G23*I23-J23)&lt;=0.011,"OK","CHECK")</f>
        <v>OK</v>
      </c>
      <c r="O23" s="4" t="str">
        <f aca="false">IF(ABS(ROUND(G23*H23-J23,2)-M23)&lt;=0.011,"OK","CHECK")</f>
        <v>OK</v>
      </c>
      <c r="P23" s="4" t="str">
        <f aca="false">IF(ABS(ROUND(M23*21/121,2)-L23)&lt;=0.011,"OK","CHECK")</f>
        <v>OK</v>
      </c>
      <c r="Q23" s="4" t="str">
        <f aca="false">IF(ABS((M23-L23)/G23-K23)&lt;=0.0006,"OK","CHECK")</f>
        <v>OK</v>
      </c>
    </row>
    <row r="24" customFormat="false" ht="15" hidden="false" customHeight="true" outlineLevel="0" collapsed="false">
      <c r="A24" s="4" t="s">
        <v>44</v>
      </c>
      <c r="B24" s="4" t="s">
        <v>71</v>
      </c>
      <c r="C24" s="4" t="s">
        <v>79</v>
      </c>
      <c r="D24" s="4" t="s">
        <v>81</v>
      </c>
      <c r="E24" s="4" t="s">
        <v>8</v>
      </c>
      <c r="F24" s="4" t="s">
        <v>48</v>
      </c>
      <c r="G24" s="5" t="n">
        <v>500</v>
      </c>
      <c r="H24" s="6" t="n">
        <v>2.178</v>
      </c>
      <c r="I24" s="6" t="n">
        <v>0.23</v>
      </c>
      <c r="J24" s="5" t="n">
        <v>115</v>
      </c>
      <c r="K24" s="6" t="n">
        <v>1.6099</v>
      </c>
      <c r="L24" s="5" t="n">
        <v>169.04</v>
      </c>
      <c r="M24" s="5" t="n">
        <v>974</v>
      </c>
      <c r="N24" s="4" t="str">
        <f aca="false">IF(ABS(G24*I24-J24)&lt;=0.011,"OK","CHECK")</f>
        <v>OK</v>
      </c>
      <c r="O24" s="4" t="str">
        <f aca="false">IF(ABS(ROUND(G24*H24-J24,2)-M24)&lt;=0.011,"OK","CHECK")</f>
        <v>OK</v>
      </c>
      <c r="P24" s="4" t="str">
        <f aca="false">IF(ABS(ROUND(M24*21/121,2)-L24)&lt;=0.011,"OK","CHECK")</f>
        <v>OK</v>
      </c>
      <c r="Q24" s="4" t="str">
        <f aca="false">IF(ABS((M24-L24)/G24-K24)&lt;=0.0006,"OK","CHECK")</f>
        <v>OK</v>
      </c>
    </row>
    <row r="25" customFormat="false" ht="15" hidden="false" customHeight="true" outlineLevel="0" collapsed="false">
      <c r="A25" s="4" t="s">
        <v>44</v>
      </c>
      <c r="B25" s="4" t="s">
        <v>82</v>
      </c>
      <c r="C25" s="4" t="s">
        <v>83</v>
      </c>
      <c r="D25" s="4" t="s">
        <v>84</v>
      </c>
      <c r="E25" s="4" t="s">
        <v>10</v>
      </c>
      <c r="F25" s="4" t="s">
        <v>48</v>
      </c>
      <c r="G25" s="5" t="n">
        <v>449.23</v>
      </c>
      <c r="H25" s="6" t="n">
        <v>2.137</v>
      </c>
      <c r="I25" s="6" t="n">
        <v>0.18</v>
      </c>
      <c r="J25" s="5" t="n">
        <v>80.86</v>
      </c>
      <c r="K25" s="6" t="n">
        <v>1.6173</v>
      </c>
      <c r="L25" s="5" t="n">
        <v>152.58</v>
      </c>
      <c r="M25" s="5" t="n">
        <v>879.14</v>
      </c>
      <c r="N25" s="4" t="str">
        <f aca="false">IF(ABS(G25*I25-J25)&lt;=0.011,"OK","CHECK")</f>
        <v>OK</v>
      </c>
      <c r="O25" s="4" t="str">
        <f aca="false">IF(ABS(ROUND(G25*H25-J25,2)-M25)&lt;=0.011,"OK","CHECK")</f>
        <v>OK</v>
      </c>
      <c r="P25" s="4" t="str">
        <f aca="false">IF(ABS(ROUND(M25*21/121,2)-L25)&lt;=0.011,"OK","CHECK")</f>
        <v>OK</v>
      </c>
      <c r="Q25" s="4" t="str">
        <f aca="false">IF(ABS((M25-L25)/G25-K25)&lt;=0.0006,"OK","CHECK")</f>
        <v>OK</v>
      </c>
    </row>
    <row r="26" customFormat="false" ht="15" hidden="false" customHeight="true" outlineLevel="0" collapsed="false">
      <c r="A26" s="4" t="s">
        <v>44</v>
      </c>
      <c r="B26" s="4" t="s">
        <v>82</v>
      </c>
      <c r="C26" s="4" t="s">
        <v>83</v>
      </c>
      <c r="D26" s="4" t="s">
        <v>85</v>
      </c>
      <c r="E26" s="4" t="s">
        <v>10</v>
      </c>
      <c r="F26" s="4" t="s">
        <v>48</v>
      </c>
      <c r="G26" s="5" t="n">
        <v>440.03</v>
      </c>
      <c r="H26" s="6" t="n">
        <v>2.137</v>
      </c>
      <c r="I26" s="6" t="n">
        <v>0.18</v>
      </c>
      <c r="J26" s="5" t="n">
        <v>79.21</v>
      </c>
      <c r="K26" s="6" t="n">
        <v>1.6173</v>
      </c>
      <c r="L26" s="5" t="n">
        <v>149.45</v>
      </c>
      <c r="M26" s="5" t="n">
        <v>861.13</v>
      </c>
      <c r="N26" s="4" t="str">
        <f aca="false">IF(ABS(G26*I26-J26)&lt;=0.011,"OK","CHECK")</f>
        <v>OK</v>
      </c>
      <c r="O26" s="4" t="str">
        <f aca="false">IF(ABS(ROUND(G26*H26-J26,2)-M26)&lt;=0.011,"OK","CHECK")</f>
        <v>OK</v>
      </c>
      <c r="P26" s="4" t="str">
        <f aca="false">IF(ABS(ROUND(M26*21/121,2)-L26)&lt;=0.011,"OK","CHECK")</f>
        <v>OK</v>
      </c>
      <c r="Q26" s="4" t="str">
        <f aca="false">IF(ABS((M26-L26)/G26-K26)&lt;=0.0006,"OK","CHECK")</f>
        <v>OK</v>
      </c>
    </row>
    <row r="27" customFormat="false" ht="15" hidden="false" customHeight="true" outlineLevel="0" collapsed="false">
      <c r="A27" s="4" t="s">
        <v>44</v>
      </c>
      <c r="B27" s="4" t="s">
        <v>82</v>
      </c>
      <c r="C27" s="4" t="s">
        <v>83</v>
      </c>
      <c r="D27" s="4" t="s">
        <v>86</v>
      </c>
      <c r="E27" s="4" t="s">
        <v>10</v>
      </c>
      <c r="F27" s="4" t="s">
        <v>50</v>
      </c>
      <c r="G27" s="5" t="n">
        <v>65.47</v>
      </c>
      <c r="H27" s="6" t="n">
        <v>0.999</v>
      </c>
      <c r="I27" s="6" t="n">
        <v>0.23</v>
      </c>
      <c r="J27" s="5" t="n">
        <v>15.06</v>
      </c>
      <c r="K27" s="6" t="n">
        <v>0.6354</v>
      </c>
      <c r="L27" s="5" t="n">
        <v>8.74</v>
      </c>
      <c r="M27" s="5" t="n">
        <v>50.34</v>
      </c>
      <c r="N27" s="4" t="str">
        <f aca="false">IF(ABS(G27*I27-J27)&lt;=0.011,"OK","CHECK")</f>
        <v>OK</v>
      </c>
      <c r="O27" s="4" t="str">
        <f aca="false">IF(ABS(ROUND(G27*H27-J27,2)-M27)&lt;=0.011,"OK","CHECK")</f>
        <v>OK</v>
      </c>
      <c r="P27" s="4" t="str">
        <f aca="false">IF(ABS(ROUND(M27*21/121,2)-L27)&lt;=0.011,"OK","CHECK")</f>
        <v>OK</v>
      </c>
      <c r="Q27" s="4" t="str">
        <f aca="false">IF(ABS((M27-L27)/G27-K27)&lt;=0.0006,"OK","CHECK")</f>
        <v>OK</v>
      </c>
    </row>
    <row r="28" customFormat="false" ht="15" hidden="false" customHeight="true" outlineLevel="0" collapsed="false">
      <c r="A28" s="4" t="s">
        <v>44</v>
      </c>
      <c r="B28" s="4" t="s">
        <v>87</v>
      </c>
      <c r="C28" s="4" t="s">
        <v>55</v>
      </c>
      <c r="D28" s="4" t="s">
        <v>88</v>
      </c>
      <c r="E28" s="4" t="s">
        <v>15</v>
      </c>
      <c r="F28" s="4" t="s">
        <v>48</v>
      </c>
      <c r="G28" s="5" t="n">
        <v>550</v>
      </c>
      <c r="H28" s="6" t="n">
        <v>2.137</v>
      </c>
      <c r="I28" s="6" t="n">
        <v>0.08</v>
      </c>
      <c r="J28" s="5" t="n">
        <v>44</v>
      </c>
      <c r="K28" s="6" t="n">
        <v>1.7</v>
      </c>
      <c r="L28" s="5" t="n">
        <v>196.35</v>
      </c>
      <c r="M28" s="5" t="n">
        <v>1131.35</v>
      </c>
      <c r="N28" s="4" t="str">
        <f aca="false">IF(ABS(G28*I28-J28)&lt;=0.011,"OK","CHECK")</f>
        <v>OK</v>
      </c>
      <c r="O28" s="4" t="str">
        <f aca="false">IF(ABS(ROUND(G28*H28-J28,2)-M28)&lt;=0.011,"OK","CHECK")</f>
        <v>OK</v>
      </c>
      <c r="P28" s="4" t="str">
        <f aca="false">IF(ABS(ROUND(M28*21/121,2)-L28)&lt;=0.011,"OK","CHECK")</f>
        <v>OK</v>
      </c>
      <c r="Q28" s="4" t="str">
        <f aca="false">IF(ABS((M28-L28)/G28-K28)&lt;=0.0006,"OK","CHECK")</f>
        <v>OK</v>
      </c>
    </row>
    <row r="29" customFormat="false" ht="15" hidden="false" customHeight="true" outlineLevel="0" collapsed="false">
      <c r="A29" s="4" t="s">
        <v>44</v>
      </c>
      <c r="B29" s="4" t="s">
        <v>87</v>
      </c>
      <c r="C29" s="4" t="s">
        <v>55</v>
      </c>
      <c r="D29" s="4" t="s">
        <v>89</v>
      </c>
      <c r="E29" s="4" t="s">
        <v>15</v>
      </c>
      <c r="F29" s="4" t="s">
        <v>50</v>
      </c>
      <c r="G29" s="5" t="n">
        <v>58</v>
      </c>
      <c r="H29" s="6" t="n">
        <v>1.183</v>
      </c>
      <c r="I29" s="6" t="n">
        <v>0</v>
      </c>
      <c r="J29" s="5" t="n">
        <v>0</v>
      </c>
      <c r="K29" s="6" t="n">
        <v>0.9776</v>
      </c>
      <c r="L29" s="5" t="n">
        <v>11.91</v>
      </c>
      <c r="M29" s="5" t="n">
        <v>68.61</v>
      </c>
      <c r="N29" s="4" t="str">
        <f aca="false">IF(ABS(G29*I29-J29)&lt;=0.011,"OK","CHECK")</f>
        <v>OK</v>
      </c>
      <c r="O29" s="4" t="str">
        <f aca="false">IF(ABS(ROUND(G29*H29-J29,2)-M29)&lt;=0.011,"OK","CHECK")</f>
        <v>OK</v>
      </c>
      <c r="P29" s="4" t="str">
        <f aca="false">IF(ABS(ROUND(M29*21/121,2)-L29)&lt;=0.011,"OK","CHECK")</f>
        <v>OK</v>
      </c>
      <c r="Q29" s="4" t="str">
        <f aca="false">IF(ABS((M29-L29)/G29-K29)&lt;=0.0006,"OK","CHECK")</f>
        <v>OK</v>
      </c>
    </row>
    <row r="30" customFormat="false" ht="15" hidden="false" customHeight="true" outlineLevel="0" collapsed="false">
      <c r="A30" s="4" t="s">
        <v>44</v>
      </c>
      <c r="B30" s="4" t="s">
        <v>90</v>
      </c>
      <c r="C30" s="4" t="s">
        <v>46</v>
      </c>
      <c r="D30" s="4" t="s">
        <v>91</v>
      </c>
      <c r="E30" s="4" t="s">
        <v>10</v>
      </c>
      <c r="F30" s="4" t="s">
        <v>48</v>
      </c>
      <c r="G30" s="5" t="n">
        <v>396.12</v>
      </c>
      <c r="H30" s="6" t="n">
        <v>2.245</v>
      </c>
      <c r="I30" s="6" t="n">
        <v>0.18</v>
      </c>
      <c r="J30" s="5" t="n">
        <v>71.3</v>
      </c>
      <c r="K30" s="6" t="n">
        <v>1.7066</v>
      </c>
      <c r="L30" s="5" t="n">
        <v>141.97</v>
      </c>
      <c r="M30" s="5" t="n">
        <v>817.99</v>
      </c>
      <c r="N30" s="4" t="str">
        <f aca="false">IF(ABS(G30*I30-J30)&lt;=0.011,"OK","CHECK")</f>
        <v>OK</v>
      </c>
      <c r="O30" s="4" t="str">
        <f aca="false">IF(ABS(ROUND(G30*H30-J30,2)-M30)&lt;=0.011,"OK","CHECK")</f>
        <v>OK</v>
      </c>
      <c r="P30" s="4" t="str">
        <f aca="false">IF(ABS(ROUND(M30*21/121,2)-L30)&lt;=0.011,"OK","CHECK")</f>
        <v>OK</v>
      </c>
      <c r="Q30" s="4" t="str">
        <f aca="false">IF(ABS((M30-L30)/G30-K30)&lt;=0.0006,"OK","CHECK")</f>
        <v>OK</v>
      </c>
    </row>
    <row r="31" customFormat="false" ht="15" hidden="false" customHeight="true" outlineLevel="0" collapsed="false">
      <c r="A31" s="4" t="s">
        <v>44</v>
      </c>
      <c r="B31" s="4" t="s">
        <v>90</v>
      </c>
      <c r="C31" s="4" t="s">
        <v>46</v>
      </c>
      <c r="D31" s="4" t="s">
        <v>92</v>
      </c>
      <c r="E31" s="4" t="s">
        <v>10</v>
      </c>
      <c r="F31" s="4" t="s">
        <v>48</v>
      </c>
      <c r="G31" s="5" t="n">
        <v>257.18</v>
      </c>
      <c r="H31" s="6" t="n">
        <v>2.245</v>
      </c>
      <c r="I31" s="6" t="n">
        <v>0.18</v>
      </c>
      <c r="J31" s="5" t="n">
        <v>46.29</v>
      </c>
      <c r="K31" s="6" t="n">
        <v>1.7066</v>
      </c>
      <c r="L31" s="5" t="n">
        <v>92.17</v>
      </c>
      <c r="M31" s="5" t="n">
        <v>531.08</v>
      </c>
      <c r="N31" s="4" t="str">
        <f aca="false">IF(ABS(G31*I31-J31)&lt;=0.011,"OK","CHECK")</f>
        <v>OK</v>
      </c>
      <c r="O31" s="4" t="str">
        <f aca="false">IF(ABS(ROUND(G31*H31-J31,2)-M31)&lt;=0.011,"OK","CHECK")</f>
        <v>OK</v>
      </c>
      <c r="P31" s="4" t="str">
        <f aca="false">IF(ABS(ROUND(M31*21/121,2)-L31)&lt;=0.011,"OK","CHECK")</f>
        <v>OK</v>
      </c>
      <c r="Q31" s="4" t="str">
        <f aca="false">IF(ABS((M31-L31)/G31-K31)&lt;=0.0006,"OK","CHECK")</f>
        <v>OK</v>
      </c>
    </row>
    <row r="32" customFormat="false" ht="15" hidden="false" customHeight="true" outlineLevel="0" collapsed="false">
      <c r="A32" s="4" t="s">
        <v>44</v>
      </c>
      <c r="B32" s="4" t="s">
        <v>90</v>
      </c>
      <c r="C32" s="4" t="s">
        <v>46</v>
      </c>
      <c r="D32" s="4" t="s">
        <v>93</v>
      </c>
      <c r="E32" s="4" t="s">
        <v>10</v>
      </c>
      <c r="F32" s="4" t="s">
        <v>50</v>
      </c>
      <c r="G32" s="5" t="n">
        <v>66.41</v>
      </c>
      <c r="H32" s="6" t="n">
        <v>0.999</v>
      </c>
      <c r="I32" s="6" t="n">
        <v>0.23</v>
      </c>
      <c r="J32" s="5" t="n">
        <v>15.27</v>
      </c>
      <c r="K32" s="6" t="n">
        <v>0.6356</v>
      </c>
      <c r="L32" s="5" t="n">
        <v>8.86</v>
      </c>
      <c r="M32" s="5" t="n">
        <v>51.07</v>
      </c>
      <c r="N32" s="4" t="str">
        <f aca="false">IF(ABS(G32*I32-J32)&lt;=0.011,"OK","CHECK")</f>
        <v>OK</v>
      </c>
      <c r="O32" s="4" t="str">
        <f aca="false">IF(ABS(ROUND(G32*H32-J32,2)-M32)&lt;=0.011,"OK","CHECK")</f>
        <v>OK</v>
      </c>
      <c r="P32" s="4" t="str">
        <f aca="false">IF(ABS(ROUND(M32*21/121,2)-L32)&lt;=0.011,"OK","CHECK")</f>
        <v>OK</v>
      </c>
      <c r="Q32" s="4" t="str">
        <f aca="false">IF(ABS((M32-L32)/G32-K32)&lt;=0.0006,"OK","CHECK")</f>
        <v>OK</v>
      </c>
    </row>
    <row r="33" customFormat="false" ht="15" hidden="false" customHeight="true" outlineLevel="0" collapsed="false">
      <c r="A33" s="4" t="s">
        <v>44</v>
      </c>
      <c r="B33" s="4" t="s">
        <v>94</v>
      </c>
      <c r="C33" s="4" t="s">
        <v>72</v>
      </c>
      <c r="D33" s="4" t="s">
        <v>95</v>
      </c>
      <c r="E33" s="4" t="s">
        <v>8</v>
      </c>
      <c r="F33" s="4" t="s">
        <v>48</v>
      </c>
      <c r="G33" s="5" t="n">
        <v>695.04</v>
      </c>
      <c r="H33" s="6" t="n">
        <v>2.245</v>
      </c>
      <c r="I33" s="6" t="n">
        <v>0.23</v>
      </c>
      <c r="J33" s="5" t="n">
        <v>159.86</v>
      </c>
      <c r="K33" s="6" t="n">
        <v>1.6653</v>
      </c>
      <c r="L33" s="5" t="n">
        <v>243.06</v>
      </c>
      <c r="M33" s="5" t="n">
        <v>1400.5</v>
      </c>
      <c r="N33" s="4" t="str">
        <f aca="false">IF(ABS(G33*I33-J33)&lt;=0.011,"OK","CHECK")</f>
        <v>OK</v>
      </c>
      <c r="O33" s="4" t="str">
        <f aca="false">IF(ABS(ROUND(G33*H33-J33,2)-M33)&lt;=0.011,"OK","CHECK")</f>
        <v>OK</v>
      </c>
      <c r="P33" s="4" t="str">
        <f aca="false">IF(ABS(ROUND(M33*21/121,2)-L33)&lt;=0.011,"OK","CHECK")</f>
        <v>OK</v>
      </c>
      <c r="Q33" s="4" t="str">
        <f aca="false">IF(ABS((M33-L33)/G33-K33)&lt;=0.0006,"OK","CHECK")</f>
        <v>OK</v>
      </c>
    </row>
    <row r="34" customFormat="false" ht="15" hidden="false" customHeight="true" outlineLevel="0" collapsed="false">
      <c r="A34" s="4" t="s">
        <v>44</v>
      </c>
      <c r="B34" s="4" t="s">
        <v>94</v>
      </c>
      <c r="C34" s="4" t="s">
        <v>72</v>
      </c>
      <c r="D34" s="4" t="s">
        <v>96</v>
      </c>
      <c r="E34" s="4" t="s">
        <v>8</v>
      </c>
      <c r="F34" s="4" t="s">
        <v>50</v>
      </c>
      <c r="G34" s="5" t="n">
        <v>78</v>
      </c>
      <c r="H34" s="6" t="n">
        <v>1.0237</v>
      </c>
      <c r="I34" s="6" t="n">
        <v>0.22</v>
      </c>
      <c r="J34" s="5" t="n">
        <v>17.16</v>
      </c>
      <c r="K34" s="6" t="n">
        <v>0.6642</v>
      </c>
      <c r="L34" s="5" t="n">
        <v>10.88</v>
      </c>
      <c r="M34" s="5" t="n">
        <v>62.69</v>
      </c>
      <c r="N34" s="4" t="str">
        <f aca="false">IF(ABS(G34*I34-J34)&lt;=0.011,"OK","CHECK")</f>
        <v>OK</v>
      </c>
      <c r="O34" s="4" t="str">
        <f aca="false">IF(ABS(ROUND(G34*H34-J34,2)-M34)&lt;=0.011,"OK","CHECK")</f>
        <v>OK</v>
      </c>
      <c r="P34" s="4" t="str">
        <f aca="false">IF(ABS(ROUND(M34*21/121,2)-L34)&lt;=0.011,"OK","CHECK")</f>
        <v>OK</v>
      </c>
      <c r="Q34" s="4" t="str">
        <f aca="false">IF(ABS((M34-L34)/G34-K34)&lt;=0.0006,"OK","CHECK")</f>
        <v>OK</v>
      </c>
    </row>
    <row r="35" customFormat="false" ht="15" hidden="false" customHeight="true" outlineLevel="0" collapsed="false">
      <c r="A35" s="4" t="s">
        <v>44</v>
      </c>
      <c r="B35" s="4" t="s">
        <v>94</v>
      </c>
      <c r="C35" s="4" t="s">
        <v>83</v>
      </c>
      <c r="D35" s="4" t="s">
        <v>97</v>
      </c>
      <c r="E35" s="4" t="s">
        <v>8</v>
      </c>
      <c r="F35" s="4" t="s">
        <v>48</v>
      </c>
      <c r="G35" s="5" t="n">
        <v>694</v>
      </c>
      <c r="H35" s="6" t="n">
        <v>2.137</v>
      </c>
      <c r="I35" s="6" t="n">
        <v>0.23</v>
      </c>
      <c r="J35" s="5" t="n">
        <v>159.62</v>
      </c>
      <c r="K35" s="6" t="n">
        <v>1.576</v>
      </c>
      <c r="L35" s="5" t="n">
        <v>229.69</v>
      </c>
      <c r="M35" s="5" t="n">
        <v>1323.46</v>
      </c>
      <c r="N35" s="4" t="str">
        <f aca="false">IF(ABS(G35*I35-J35)&lt;=0.011,"OK","CHECK")</f>
        <v>OK</v>
      </c>
      <c r="O35" s="4" t="str">
        <f aca="false">IF(ABS(ROUND(G35*H35-J35,2)-M35)&lt;=0.011,"OK","CHECK")</f>
        <v>OK</v>
      </c>
      <c r="P35" s="4" t="str">
        <f aca="false">IF(ABS(ROUND(M35*21/121,2)-L35)&lt;=0.011,"OK","CHECK")</f>
        <v>OK</v>
      </c>
      <c r="Q35" s="4" t="str">
        <f aca="false">IF(ABS((M35-L35)/G35-K35)&lt;=0.0006,"OK","CHECK")</f>
        <v>OK</v>
      </c>
    </row>
    <row r="36" customFormat="false" ht="15" hidden="false" customHeight="true" outlineLevel="0" collapsed="false">
      <c r="A36" s="4" t="s">
        <v>44</v>
      </c>
      <c r="B36" s="4" t="s">
        <v>94</v>
      </c>
      <c r="C36" s="4" t="s">
        <v>83</v>
      </c>
      <c r="D36" s="4" t="s">
        <v>98</v>
      </c>
      <c r="E36" s="4" t="s">
        <v>8</v>
      </c>
      <c r="F36" s="4" t="s">
        <v>50</v>
      </c>
      <c r="G36" s="5" t="n">
        <v>79</v>
      </c>
      <c r="H36" s="6" t="n">
        <v>1.0237</v>
      </c>
      <c r="I36" s="6" t="n">
        <v>0.22</v>
      </c>
      <c r="J36" s="5" t="n">
        <v>17.38</v>
      </c>
      <c r="K36" s="6" t="n">
        <v>0.6642</v>
      </c>
      <c r="L36" s="5" t="n">
        <v>11.02</v>
      </c>
      <c r="M36" s="5" t="n">
        <v>63.49</v>
      </c>
      <c r="N36" s="4" t="str">
        <f aca="false">IF(ABS(G36*I36-J36)&lt;=0.011,"OK","CHECK")</f>
        <v>OK</v>
      </c>
      <c r="O36" s="4" t="str">
        <f aca="false">IF(ABS(ROUND(G36*H36-J36,2)-M36)&lt;=0.011,"OK","CHECK")</f>
        <v>OK</v>
      </c>
      <c r="P36" s="4" t="str">
        <f aca="false">IF(ABS(ROUND(M36*21/121,2)-L36)&lt;=0.011,"OK","CHECK")</f>
        <v>OK</v>
      </c>
      <c r="Q36" s="4" t="str">
        <f aca="false">IF(ABS((M36-L36)/G36-K36)&lt;=0.0006,"OK","CHECK")</f>
        <v>OK</v>
      </c>
    </row>
    <row r="37" customFormat="false" ht="15" hidden="false" customHeight="true" outlineLevel="0" collapsed="false">
      <c r="A37" s="4" t="s">
        <v>44</v>
      </c>
      <c r="B37" s="4" t="s">
        <v>99</v>
      </c>
      <c r="C37" s="4" t="s">
        <v>100</v>
      </c>
      <c r="D37" s="4" t="s">
        <v>101</v>
      </c>
      <c r="E37" s="4" t="s">
        <v>10</v>
      </c>
      <c r="F37" s="4" t="s">
        <v>48</v>
      </c>
      <c r="G37" s="5" t="n">
        <v>238.36</v>
      </c>
      <c r="H37" s="6" t="n">
        <v>2.178</v>
      </c>
      <c r="I37" s="6" t="n">
        <v>0.18</v>
      </c>
      <c r="J37" s="5" t="n">
        <v>42.9</v>
      </c>
      <c r="K37" s="6" t="n">
        <v>1.6513</v>
      </c>
      <c r="L37" s="5" t="n">
        <v>82.65</v>
      </c>
      <c r="M37" s="5" t="n">
        <v>476.25</v>
      </c>
      <c r="N37" s="4" t="str">
        <f aca="false">IF(ABS(G37*I37-J37)&lt;=0.011,"OK","CHECK")</f>
        <v>OK</v>
      </c>
      <c r="O37" s="4" t="str">
        <f aca="false">IF(ABS(ROUND(G37*H37-J37,2)-M37)&lt;=0.011,"OK","CHECK")</f>
        <v>OK</v>
      </c>
      <c r="P37" s="4" t="str">
        <f aca="false">IF(ABS(ROUND(M37*21/121,2)-L37)&lt;=0.011,"OK","CHECK")</f>
        <v>OK</v>
      </c>
      <c r="Q37" s="4" t="str">
        <f aca="false">IF(ABS((M37-L37)/G37-K37)&lt;=0.0006,"OK","CHECK")</f>
        <v>OK</v>
      </c>
    </row>
    <row r="38" customFormat="false" ht="15" hidden="false" customHeight="true" outlineLevel="0" collapsed="false">
      <c r="A38" s="4" t="s">
        <v>44</v>
      </c>
      <c r="B38" s="4" t="s">
        <v>99</v>
      </c>
      <c r="C38" s="4" t="s">
        <v>100</v>
      </c>
      <c r="D38" s="4" t="s">
        <v>102</v>
      </c>
      <c r="E38" s="4" t="s">
        <v>10</v>
      </c>
      <c r="F38" s="4" t="s">
        <v>50</v>
      </c>
      <c r="G38" s="5" t="n">
        <v>70.81</v>
      </c>
      <c r="H38" s="6" t="n">
        <v>0.999</v>
      </c>
      <c r="I38" s="6" t="n">
        <v>0.23</v>
      </c>
      <c r="J38" s="5" t="n">
        <v>16.29</v>
      </c>
      <c r="K38" s="6" t="n">
        <v>0.6355</v>
      </c>
      <c r="L38" s="5" t="n">
        <v>9.45</v>
      </c>
      <c r="M38" s="5" t="n">
        <v>54.45</v>
      </c>
      <c r="N38" s="4" t="str">
        <f aca="false">IF(ABS(G38*I38-J38)&lt;=0.011,"OK","CHECK")</f>
        <v>OK</v>
      </c>
      <c r="O38" s="4" t="str">
        <f aca="false">IF(ABS(ROUND(G38*H38-J38,2)-M38)&lt;=0.011,"OK","CHECK")</f>
        <v>OK</v>
      </c>
      <c r="P38" s="4" t="str">
        <f aca="false">IF(ABS(ROUND(M38*21/121,2)-L38)&lt;=0.011,"OK","CHECK")</f>
        <v>OK</v>
      </c>
      <c r="Q38" s="4" t="str">
        <f aca="false">IF(ABS((M38-L38)/G38-K38)&lt;=0.0006,"OK","CHECK")</f>
        <v>OK</v>
      </c>
    </row>
    <row r="39" customFormat="false" ht="15" hidden="false" customHeight="true" outlineLevel="0" collapsed="false">
      <c r="A39" s="4" t="s">
        <v>44</v>
      </c>
      <c r="B39" s="4" t="s">
        <v>103</v>
      </c>
      <c r="C39" s="4" t="s">
        <v>72</v>
      </c>
      <c r="D39" s="4" t="s">
        <v>104</v>
      </c>
      <c r="E39" s="4" t="s">
        <v>12</v>
      </c>
      <c r="F39" s="4" t="s">
        <v>48</v>
      </c>
      <c r="G39" s="5" t="n">
        <v>67.29</v>
      </c>
      <c r="H39" s="6" t="n">
        <v>2.245</v>
      </c>
      <c r="I39" s="6" t="n">
        <v>0.23</v>
      </c>
      <c r="J39" s="5" t="n">
        <v>15.48</v>
      </c>
      <c r="K39" s="6" t="n">
        <v>1.6653</v>
      </c>
      <c r="L39" s="5" t="n">
        <v>23.53</v>
      </c>
      <c r="M39" s="5" t="n">
        <v>135.59</v>
      </c>
      <c r="N39" s="4" t="str">
        <f aca="false">IF(ABS(G39*I39-J39)&lt;=0.011,"OK","CHECK")</f>
        <v>OK</v>
      </c>
      <c r="O39" s="4" t="str">
        <f aca="false">IF(ABS(ROUND(G39*H39-J39,2)-M39)&lt;=0.011,"OK","CHECK")</f>
        <v>OK</v>
      </c>
      <c r="P39" s="4" t="str">
        <f aca="false">IF(ABS(ROUND(M39*21/121,2)-L39)&lt;=0.011,"OK","CHECK")</f>
        <v>OK</v>
      </c>
      <c r="Q39" s="4" t="str">
        <f aca="false">IF(ABS((M39-L39)/G39-K39)&lt;=0.0006,"OK","CHECK")</f>
        <v>OK</v>
      </c>
    </row>
    <row r="40" customFormat="false" ht="15" hidden="false" customHeight="true" outlineLevel="0" collapsed="false">
      <c r="A40" s="4" t="s">
        <v>44</v>
      </c>
      <c r="B40" s="4" t="s">
        <v>103</v>
      </c>
      <c r="C40" s="4" t="s">
        <v>55</v>
      </c>
      <c r="D40" s="4" t="s">
        <v>105</v>
      </c>
      <c r="E40" s="4" t="s">
        <v>13</v>
      </c>
      <c r="F40" s="4" t="s">
        <v>48</v>
      </c>
      <c r="G40" s="5" t="n">
        <v>80</v>
      </c>
      <c r="H40" s="6" t="n">
        <v>2.137</v>
      </c>
      <c r="I40" s="6" t="n">
        <v>0.105</v>
      </c>
      <c r="J40" s="5" t="n">
        <v>8.4</v>
      </c>
      <c r="K40" s="6" t="n">
        <v>1.6794</v>
      </c>
      <c r="L40" s="5" t="n">
        <v>28.21</v>
      </c>
      <c r="M40" s="5" t="n">
        <v>162.56</v>
      </c>
      <c r="N40" s="4" t="str">
        <f aca="false">IF(ABS(G40*I40-J40)&lt;=0.011,"OK","CHECK")</f>
        <v>OK</v>
      </c>
      <c r="O40" s="4" t="str">
        <f aca="false">IF(ABS(ROUND(G40*H40-J40,2)-M40)&lt;=0.011,"OK","CHECK")</f>
        <v>OK</v>
      </c>
      <c r="P40" s="4" t="str">
        <f aca="false">IF(ABS(ROUND(M40*21/121,2)-L40)&lt;=0.011,"OK","CHECK")</f>
        <v>OK</v>
      </c>
      <c r="Q40" s="4" t="str">
        <f aca="false">IF(ABS((M40-L40)/G40-K40)&lt;=0.0006,"OK","CHECK")</f>
        <v>OK</v>
      </c>
    </row>
    <row r="41" customFormat="false" ht="15" hidden="false" customHeight="true" outlineLevel="0" collapsed="false">
      <c r="A41" s="4" t="s">
        <v>44</v>
      </c>
      <c r="B41" s="4" t="s">
        <v>103</v>
      </c>
      <c r="C41" s="4" t="s">
        <v>55</v>
      </c>
      <c r="D41" s="4" t="s">
        <v>106</v>
      </c>
      <c r="E41" s="4" t="s">
        <v>13</v>
      </c>
      <c r="F41" s="4" t="s">
        <v>50</v>
      </c>
      <c r="G41" s="5" t="n">
        <v>8.4</v>
      </c>
      <c r="H41" s="6" t="n">
        <v>1.0237</v>
      </c>
      <c r="I41" s="6" t="n">
        <v>0.22</v>
      </c>
      <c r="J41" s="5" t="n">
        <v>1.85</v>
      </c>
      <c r="K41" s="6" t="n">
        <v>0.6643</v>
      </c>
      <c r="L41" s="5" t="n">
        <v>1.17</v>
      </c>
      <c r="M41" s="5" t="n">
        <v>6.75</v>
      </c>
      <c r="N41" s="4" t="str">
        <f aca="false">IF(ABS(G41*I41-J41)&lt;=0.011,"OK","CHECK")</f>
        <v>OK</v>
      </c>
      <c r="O41" s="4" t="str">
        <f aca="false">IF(ABS(ROUND(G41*H41-J41,2)-M41)&lt;=0.011,"OK","CHECK")</f>
        <v>OK</v>
      </c>
      <c r="P41" s="4" t="str">
        <f aca="false">IF(ABS(ROUND(M41*21/121,2)-L41)&lt;=0.011,"OK","CHECK")</f>
        <v>OK</v>
      </c>
      <c r="Q41" s="4" t="str">
        <f aca="false">IF(ABS((M41-L41)/G41-K41)&lt;=0.0006,"OK","CHECK")</f>
        <v>OK</v>
      </c>
    </row>
    <row r="42" customFormat="false" ht="15" hidden="false" customHeight="true" outlineLevel="0" collapsed="false">
      <c r="A42" s="4" t="s">
        <v>44</v>
      </c>
      <c r="B42" s="4" t="s">
        <v>107</v>
      </c>
      <c r="C42" s="4" t="s">
        <v>46</v>
      </c>
      <c r="D42" s="4" t="s">
        <v>108</v>
      </c>
      <c r="E42" s="4" t="s">
        <v>10</v>
      </c>
      <c r="F42" s="4" t="s">
        <v>50</v>
      </c>
      <c r="G42" s="5" t="n">
        <v>39.03</v>
      </c>
      <c r="H42" s="6" t="n">
        <v>0.999</v>
      </c>
      <c r="I42" s="6" t="n">
        <v>0.23</v>
      </c>
      <c r="J42" s="5" t="n">
        <v>8.98</v>
      </c>
      <c r="K42" s="6" t="n">
        <v>0.6354</v>
      </c>
      <c r="L42" s="5" t="n">
        <v>5.21</v>
      </c>
      <c r="M42" s="5" t="n">
        <v>30.01</v>
      </c>
      <c r="N42" s="4" t="str">
        <f aca="false">IF(ABS(G42*I42-J42)&lt;=0.011,"OK","CHECK")</f>
        <v>OK</v>
      </c>
      <c r="O42" s="4" t="str">
        <f aca="false">IF(ABS(ROUND(G42*H42-J42,2)-M42)&lt;=0.011,"OK","CHECK")</f>
        <v>OK</v>
      </c>
      <c r="P42" s="4" t="str">
        <f aca="false">IF(ABS(ROUND(M42*21/121,2)-L42)&lt;=0.011,"OK","CHECK")</f>
        <v>OK</v>
      </c>
      <c r="Q42" s="4" t="str">
        <f aca="false">IF(ABS((M42-L42)/G42-K42)&lt;=0.0006,"OK","CHECK")</f>
        <v>OK</v>
      </c>
    </row>
    <row r="43" customFormat="false" ht="15" hidden="false" customHeight="true" outlineLevel="0" collapsed="false">
      <c r="A43" s="4" t="s">
        <v>44</v>
      </c>
      <c r="B43" s="4" t="s">
        <v>107</v>
      </c>
      <c r="C43" s="4" t="s">
        <v>46</v>
      </c>
      <c r="D43" s="4" t="s">
        <v>109</v>
      </c>
      <c r="E43" s="4" t="s">
        <v>10</v>
      </c>
      <c r="F43" s="4" t="s">
        <v>48</v>
      </c>
      <c r="G43" s="5" t="n">
        <v>360</v>
      </c>
      <c r="H43" s="6" t="n">
        <v>2.245</v>
      </c>
      <c r="I43" s="6" t="n">
        <v>0.18</v>
      </c>
      <c r="J43" s="5" t="n">
        <v>64.8</v>
      </c>
      <c r="K43" s="6" t="n">
        <v>1.7066</v>
      </c>
      <c r="L43" s="5" t="n">
        <v>129.02</v>
      </c>
      <c r="M43" s="5" t="n">
        <v>743.4</v>
      </c>
      <c r="N43" s="4" t="str">
        <f aca="false">IF(ABS(G43*I43-J43)&lt;=0.011,"OK","CHECK")</f>
        <v>OK</v>
      </c>
      <c r="O43" s="4" t="str">
        <f aca="false">IF(ABS(ROUND(G43*H43-J43,2)-M43)&lt;=0.011,"OK","CHECK")</f>
        <v>OK</v>
      </c>
      <c r="P43" s="4" t="str">
        <f aca="false">IF(ABS(ROUND(M43*21/121,2)-L43)&lt;=0.011,"OK","CHECK")</f>
        <v>OK</v>
      </c>
      <c r="Q43" s="4" t="str">
        <f aca="false">IF(ABS((M43-L43)/G43-K43)&lt;=0.0006,"OK","CHECK")</f>
        <v>OK</v>
      </c>
    </row>
    <row r="44" customFormat="false" ht="15" hidden="false" customHeight="true" outlineLevel="0" collapsed="false">
      <c r="A44" s="4" t="s">
        <v>44</v>
      </c>
      <c r="B44" s="4" t="s">
        <v>107</v>
      </c>
      <c r="C44" s="4" t="s">
        <v>46</v>
      </c>
      <c r="D44" s="4" t="s">
        <v>110</v>
      </c>
      <c r="E44" s="4" t="s">
        <v>10</v>
      </c>
      <c r="F44" s="4" t="s">
        <v>48</v>
      </c>
      <c r="G44" s="5" t="n">
        <v>225.01</v>
      </c>
      <c r="H44" s="6" t="n">
        <v>2.245</v>
      </c>
      <c r="I44" s="6" t="n">
        <v>0.18</v>
      </c>
      <c r="J44" s="5" t="n">
        <v>40.5</v>
      </c>
      <c r="K44" s="6" t="n">
        <v>1.7066</v>
      </c>
      <c r="L44" s="5" t="n">
        <v>80.64</v>
      </c>
      <c r="M44" s="5" t="n">
        <v>464.65</v>
      </c>
      <c r="N44" s="4" t="str">
        <f aca="false">IF(ABS(G44*I44-J44)&lt;=0.011,"OK","CHECK")</f>
        <v>OK</v>
      </c>
      <c r="O44" s="4" t="str">
        <f aca="false">IF(ABS(ROUND(G44*H44-J44,2)-M44)&lt;=0.011,"OK","CHECK")</f>
        <v>OK</v>
      </c>
      <c r="P44" s="4" t="str">
        <f aca="false">IF(ABS(ROUND(M44*21/121,2)-L44)&lt;=0.011,"OK","CHECK")</f>
        <v>OK</v>
      </c>
      <c r="Q44" s="4" t="str">
        <f aca="false">IF(ABS((M44-L44)/G44-K44)&lt;=0.0006,"OK","CHECK")</f>
        <v>OK</v>
      </c>
    </row>
    <row r="45" customFormat="false" ht="15" hidden="false" customHeight="true" outlineLevel="0" collapsed="false">
      <c r="A45" s="4" t="s">
        <v>44</v>
      </c>
      <c r="B45" s="4" t="s">
        <v>107</v>
      </c>
      <c r="C45" s="4" t="s">
        <v>55</v>
      </c>
      <c r="D45" s="4" t="s">
        <v>111</v>
      </c>
      <c r="E45" s="4" t="s">
        <v>10</v>
      </c>
      <c r="F45" s="4" t="s">
        <v>50</v>
      </c>
      <c r="G45" s="5" t="n">
        <v>46.96</v>
      </c>
      <c r="H45" s="6" t="n">
        <v>0.999</v>
      </c>
      <c r="I45" s="6" t="n">
        <v>0.23</v>
      </c>
      <c r="J45" s="5" t="n">
        <v>10.8</v>
      </c>
      <c r="K45" s="6" t="n">
        <v>0.6354</v>
      </c>
      <c r="L45" s="5" t="n">
        <v>6.27</v>
      </c>
      <c r="M45" s="5" t="n">
        <v>36.11</v>
      </c>
      <c r="N45" s="4" t="str">
        <f aca="false">IF(ABS(G45*I45-J45)&lt;=0.011,"OK","CHECK")</f>
        <v>OK</v>
      </c>
      <c r="O45" s="4" t="str">
        <f aca="false">IF(ABS(ROUND(G45*H45-J45,2)-M45)&lt;=0.011,"OK","CHECK")</f>
        <v>OK</v>
      </c>
      <c r="P45" s="4" t="str">
        <f aca="false">IF(ABS(ROUND(M45*21/121,2)-L45)&lt;=0.011,"OK","CHECK")</f>
        <v>OK</v>
      </c>
      <c r="Q45" s="4" t="str">
        <f aca="false">IF(ABS((M45-L45)/G45-K45)&lt;=0.0006,"OK","CHECK")</f>
        <v>OK</v>
      </c>
    </row>
    <row r="46" customFormat="false" ht="15" hidden="false" customHeight="true" outlineLevel="0" collapsed="false">
      <c r="A46" s="4" t="s">
        <v>44</v>
      </c>
      <c r="B46" s="4" t="s">
        <v>107</v>
      </c>
      <c r="C46" s="4" t="s">
        <v>55</v>
      </c>
      <c r="D46" s="4" t="s">
        <v>112</v>
      </c>
      <c r="E46" s="4" t="s">
        <v>10</v>
      </c>
      <c r="F46" s="4" t="s">
        <v>48</v>
      </c>
      <c r="G46" s="5" t="n">
        <v>285</v>
      </c>
      <c r="H46" s="6" t="n">
        <v>2.137</v>
      </c>
      <c r="I46" s="6" t="n">
        <v>0.18</v>
      </c>
      <c r="J46" s="5" t="n">
        <v>51.3</v>
      </c>
      <c r="K46" s="6" t="n">
        <v>1.6174</v>
      </c>
      <c r="L46" s="5" t="n">
        <v>96.8</v>
      </c>
      <c r="M46" s="5" t="n">
        <v>557.75</v>
      </c>
      <c r="N46" s="4" t="str">
        <f aca="false">IF(ABS(G46*I46-J46)&lt;=0.011,"OK","CHECK")</f>
        <v>OK</v>
      </c>
      <c r="O46" s="4" t="str">
        <f aca="false">IF(ABS(ROUND(G46*H46-J46,2)-M46)&lt;=0.011,"OK","CHECK")</f>
        <v>OK</v>
      </c>
      <c r="P46" s="4" t="str">
        <f aca="false">IF(ABS(ROUND(M46*21/121,2)-L46)&lt;=0.011,"OK","CHECK")</f>
        <v>OK</v>
      </c>
      <c r="Q46" s="4" t="str">
        <f aca="false">IF(ABS((M46-L46)/G46-K46)&lt;=0.0006,"OK","CHECK")</f>
        <v>OK</v>
      </c>
    </row>
    <row r="47" customFormat="false" ht="15" hidden="false" customHeight="true" outlineLevel="0" collapsed="false">
      <c r="A47" s="4" t="s">
        <v>44</v>
      </c>
      <c r="B47" s="4" t="s">
        <v>107</v>
      </c>
      <c r="C47" s="4" t="s">
        <v>55</v>
      </c>
      <c r="D47" s="4" t="s">
        <v>113</v>
      </c>
      <c r="E47" s="4" t="s">
        <v>10</v>
      </c>
      <c r="F47" s="4" t="s">
        <v>48</v>
      </c>
      <c r="G47" s="5" t="n">
        <v>400.02</v>
      </c>
      <c r="H47" s="6" t="n">
        <v>2.137</v>
      </c>
      <c r="I47" s="6" t="n">
        <v>0.18</v>
      </c>
      <c r="J47" s="5" t="n">
        <v>72</v>
      </c>
      <c r="K47" s="6" t="n">
        <v>1.6174</v>
      </c>
      <c r="L47" s="5" t="n">
        <v>135.86</v>
      </c>
      <c r="M47" s="5" t="n">
        <v>782.84</v>
      </c>
      <c r="N47" s="4" t="str">
        <f aca="false">IF(ABS(G47*I47-J47)&lt;=0.011,"OK","CHECK")</f>
        <v>OK</v>
      </c>
      <c r="O47" s="4" t="str">
        <f aca="false">IF(ABS(ROUND(G47*H47-J47,2)-M47)&lt;=0.011,"OK","CHECK")</f>
        <v>OK</v>
      </c>
      <c r="P47" s="4" t="str">
        <f aca="false">IF(ABS(ROUND(M47*21/121,2)-L47)&lt;=0.011,"OK","CHECK")</f>
        <v>OK</v>
      </c>
      <c r="Q47" s="4" t="str">
        <f aca="false">IF(ABS((M47-L47)/G47-K47)&lt;=0.0006,"OK","CHECK")</f>
        <v>OK</v>
      </c>
    </row>
    <row r="48" customFormat="false" ht="15" hidden="false" customHeight="true" outlineLevel="0" collapsed="false">
      <c r="A48" s="4" t="s">
        <v>44</v>
      </c>
      <c r="B48" s="4" t="s">
        <v>107</v>
      </c>
      <c r="C48" s="4" t="s">
        <v>114</v>
      </c>
      <c r="D48" s="4" t="s">
        <v>115</v>
      </c>
      <c r="E48" s="4" t="s">
        <v>8</v>
      </c>
      <c r="F48" s="4" t="s">
        <v>48</v>
      </c>
      <c r="G48" s="5" t="n">
        <v>530</v>
      </c>
      <c r="H48" s="6" t="n">
        <v>2.137</v>
      </c>
      <c r="I48" s="6" t="n">
        <v>0.23</v>
      </c>
      <c r="J48" s="5" t="n">
        <v>121.9</v>
      </c>
      <c r="K48" s="6" t="n">
        <v>1.576</v>
      </c>
      <c r="L48" s="5" t="n">
        <v>175.41</v>
      </c>
      <c r="M48" s="5" t="n">
        <v>1010.71</v>
      </c>
      <c r="N48" s="4" t="str">
        <f aca="false">IF(ABS(G48*I48-J48)&lt;=0.011,"OK","CHECK")</f>
        <v>OK</v>
      </c>
      <c r="O48" s="4" t="str">
        <f aca="false">IF(ABS(ROUND(G48*H48-J48,2)-M48)&lt;=0.011,"OK","CHECK")</f>
        <v>OK</v>
      </c>
      <c r="P48" s="4" t="str">
        <f aca="false">IF(ABS(ROUND(M48*21/121,2)-L48)&lt;=0.011,"OK","CHECK")</f>
        <v>OK</v>
      </c>
      <c r="Q48" s="4" t="str">
        <f aca="false">IF(ABS((M48-L48)/G48-K48)&lt;=0.0006,"OK","CHECK")</f>
        <v>OK</v>
      </c>
    </row>
    <row r="49" customFormat="false" ht="15" hidden="false" customHeight="true" outlineLevel="0" collapsed="false">
      <c r="A49" s="4" t="s">
        <v>44</v>
      </c>
      <c r="B49" s="4" t="s">
        <v>107</v>
      </c>
      <c r="C49" s="4" t="s">
        <v>114</v>
      </c>
      <c r="D49" s="4" t="s">
        <v>116</v>
      </c>
      <c r="E49" s="4" t="s">
        <v>8</v>
      </c>
      <c r="F49" s="4" t="s">
        <v>50</v>
      </c>
      <c r="G49" s="5" t="n">
        <v>38.4</v>
      </c>
      <c r="H49" s="6" t="n">
        <v>1.0237</v>
      </c>
      <c r="I49" s="6" t="n">
        <v>0.22</v>
      </c>
      <c r="J49" s="5" t="n">
        <v>8.45</v>
      </c>
      <c r="K49" s="6" t="n">
        <v>0.6641</v>
      </c>
      <c r="L49" s="5" t="n">
        <v>5.36</v>
      </c>
      <c r="M49" s="5" t="n">
        <v>30.86</v>
      </c>
      <c r="N49" s="4" t="str">
        <f aca="false">IF(ABS(G49*I49-J49)&lt;=0.011,"OK","CHECK")</f>
        <v>OK</v>
      </c>
      <c r="O49" s="4" t="str">
        <f aca="false">IF(ABS(ROUND(G49*H49-J49,2)-M49)&lt;=0.011,"OK","CHECK")</f>
        <v>OK</v>
      </c>
      <c r="P49" s="4" t="str">
        <f aca="false">IF(ABS(ROUND(M49*21/121,2)-L49)&lt;=0.011,"OK","CHECK")</f>
        <v>OK</v>
      </c>
      <c r="Q49" s="4" t="str">
        <f aca="false">IF(ABS((M49-L49)/G49-K49)&lt;=0.0006,"OK","CHECK")</f>
        <v>OK</v>
      </c>
    </row>
    <row r="50" customFormat="false" ht="15" hidden="false" customHeight="true" outlineLevel="0" collapsed="false">
      <c r="A50" s="4" t="s">
        <v>44</v>
      </c>
      <c r="B50" s="4" t="s">
        <v>117</v>
      </c>
      <c r="C50" s="4" t="s">
        <v>118</v>
      </c>
      <c r="D50" s="4" t="s">
        <v>119</v>
      </c>
      <c r="E50" s="4" t="s">
        <v>8</v>
      </c>
      <c r="F50" s="4" t="s">
        <v>50</v>
      </c>
      <c r="G50" s="5" t="n">
        <v>30</v>
      </c>
      <c r="H50" s="6" t="n">
        <v>1.0237</v>
      </c>
      <c r="I50" s="6" t="n">
        <v>0.22</v>
      </c>
      <c r="J50" s="5" t="n">
        <v>6.6</v>
      </c>
      <c r="K50" s="6" t="n">
        <v>0.6643</v>
      </c>
      <c r="L50" s="5" t="n">
        <v>4.18</v>
      </c>
      <c r="M50" s="5" t="n">
        <v>24.11</v>
      </c>
      <c r="N50" s="4" t="str">
        <f aca="false">IF(ABS(G50*I50-J50)&lt;=0.011,"OK","CHECK")</f>
        <v>OK</v>
      </c>
      <c r="O50" s="4" t="str">
        <f aca="false">IF(ABS(ROUND(G50*H50-J50,2)-M50)&lt;=0.011,"OK","CHECK")</f>
        <v>OK</v>
      </c>
      <c r="P50" s="4" t="str">
        <f aca="false">IF(ABS(ROUND(M50*21/121,2)-L50)&lt;=0.011,"OK","CHECK")</f>
        <v>OK</v>
      </c>
      <c r="Q50" s="4" t="str">
        <f aca="false">IF(ABS((M50-L50)/G50-K50)&lt;=0.0006,"OK","CHECK")</f>
        <v>OK</v>
      </c>
    </row>
    <row r="51" customFormat="false" ht="15" hidden="false" customHeight="true" outlineLevel="0" collapsed="false">
      <c r="A51" s="4" t="s">
        <v>44</v>
      </c>
      <c r="B51" s="4" t="s">
        <v>120</v>
      </c>
      <c r="C51" s="4" t="s">
        <v>67</v>
      </c>
      <c r="D51" s="4" t="s">
        <v>121</v>
      </c>
      <c r="E51" s="4" t="s">
        <v>8</v>
      </c>
      <c r="F51" s="4" t="s">
        <v>48</v>
      </c>
      <c r="G51" s="5" t="n">
        <v>748.55</v>
      </c>
      <c r="H51" s="6" t="n">
        <v>2.137</v>
      </c>
      <c r="I51" s="6" t="n">
        <v>0.23</v>
      </c>
      <c r="J51" s="5" t="n">
        <v>172.17</v>
      </c>
      <c r="K51" s="6" t="n">
        <v>1.576</v>
      </c>
      <c r="L51" s="5" t="n">
        <v>247.74</v>
      </c>
      <c r="M51" s="5" t="n">
        <v>1427.48</v>
      </c>
      <c r="N51" s="4" t="str">
        <f aca="false">IF(ABS(G51*I51-J51)&lt;=0.011,"OK","CHECK")</f>
        <v>OK</v>
      </c>
      <c r="O51" s="4" t="str">
        <f aca="false">IF(ABS(ROUND(G51*H51-J51,2)-M51)&lt;=0.011,"OK","CHECK")</f>
        <v>OK</v>
      </c>
      <c r="P51" s="4" t="str">
        <f aca="false">IF(ABS(ROUND(M51*21/121,2)-L51)&lt;=0.011,"OK","CHECK")</f>
        <v>OK</v>
      </c>
      <c r="Q51" s="4" t="str">
        <f aca="false">IF(ABS((M51-L51)/G51-K51)&lt;=0.0006,"OK","CHECK")</f>
        <v>OK</v>
      </c>
    </row>
    <row r="52" customFormat="false" ht="15" hidden="false" customHeight="true" outlineLevel="0" collapsed="false">
      <c r="A52" s="4" t="s">
        <v>44</v>
      </c>
      <c r="B52" s="4" t="s">
        <v>120</v>
      </c>
      <c r="C52" s="4" t="s">
        <v>67</v>
      </c>
      <c r="D52" s="4" t="s">
        <v>122</v>
      </c>
      <c r="E52" s="4" t="s">
        <v>8</v>
      </c>
      <c r="F52" s="4" t="s">
        <v>50</v>
      </c>
      <c r="G52" s="5" t="n">
        <v>59.17</v>
      </c>
      <c r="H52" s="6" t="n">
        <v>1.0237</v>
      </c>
      <c r="I52" s="6" t="n">
        <v>0.22</v>
      </c>
      <c r="J52" s="5" t="n">
        <v>13.02</v>
      </c>
      <c r="K52" s="6" t="n">
        <v>0.6642</v>
      </c>
      <c r="L52" s="5" t="n">
        <v>8.25</v>
      </c>
      <c r="M52" s="5" t="n">
        <v>47.55</v>
      </c>
      <c r="N52" s="4" t="str">
        <f aca="false">IF(ABS(G52*I52-J52)&lt;=0.011,"OK","CHECK")</f>
        <v>OK</v>
      </c>
      <c r="O52" s="4" t="str">
        <f aca="false">IF(ABS(ROUND(G52*H52-J52,2)-M52)&lt;=0.011,"OK","CHECK")</f>
        <v>OK</v>
      </c>
      <c r="P52" s="4" t="str">
        <f aca="false">IF(ABS(ROUND(M52*21/121,2)-L52)&lt;=0.011,"OK","CHECK")</f>
        <v>OK</v>
      </c>
      <c r="Q52" s="4" t="str">
        <f aca="false">IF(ABS((M52-L52)/G52-K52)&lt;=0.0006,"OK","CHECK")</f>
        <v>OK</v>
      </c>
    </row>
    <row r="53" customFormat="false" ht="15" hidden="false" customHeight="true" outlineLevel="0" collapsed="false">
      <c r="A53" s="4" t="s">
        <v>44</v>
      </c>
      <c r="B53" s="4" t="s">
        <v>123</v>
      </c>
      <c r="C53" s="4" t="s">
        <v>72</v>
      </c>
      <c r="D53" s="4" t="s">
        <v>124</v>
      </c>
      <c r="E53" s="4" t="s">
        <v>8</v>
      </c>
      <c r="F53" s="4" t="s">
        <v>48</v>
      </c>
      <c r="G53" s="5" t="n">
        <v>706.08</v>
      </c>
      <c r="H53" s="6" t="n">
        <v>2.245</v>
      </c>
      <c r="I53" s="6" t="n">
        <v>0.23</v>
      </c>
      <c r="J53" s="5" t="n">
        <v>162.4</v>
      </c>
      <c r="K53" s="6" t="n">
        <v>1.6653</v>
      </c>
      <c r="L53" s="5" t="n">
        <v>246.92</v>
      </c>
      <c r="M53" s="5" t="n">
        <v>1422.75</v>
      </c>
      <c r="N53" s="4" t="str">
        <f aca="false">IF(ABS(G53*I53-J53)&lt;=0.011,"OK","CHECK")</f>
        <v>OK</v>
      </c>
      <c r="O53" s="4" t="str">
        <f aca="false">IF(ABS(ROUND(G53*H53-J53,2)-M53)&lt;=0.011,"OK","CHECK")</f>
        <v>OK</v>
      </c>
      <c r="P53" s="4" t="str">
        <f aca="false">IF(ABS(ROUND(M53*21/121,2)-L53)&lt;=0.011,"OK","CHECK")</f>
        <v>OK</v>
      </c>
      <c r="Q53" s="4" t="str">
        <f aca="false">IF(ABS((M53-L53)/G53-K53)&lt;=0.0006,"OK","CHECK")</f>
        <v>OK</v>
      </c>
    </row>
    <row r="54" customFormat="false" ht="15" hidden="false" customHeight="true" outlineLevel="0" collapsed="false">
      <c r="A54" s="4" t="s">
        <v>44</v>
      </c>
      <c r="B54" s="4" t="s">
        <v>123</v>
      </c>
      <c r="C54" s="4" t="s">
        <v>72</v>
      </c>
      <c r="D54" s="4" t="s">
        <v>125</v>
      </c>
      <c r="E54" s="4" t="s">
        <v>8</v>
      </c>
      <c r="F54" s="4" t="s">
        <v>50</v>
      </c>
      <c r="G54" s="5" t="n">
        <v>83.89</v>
      </c>
      <c r="H54" s="6" t="n">
        <v>1.0237</v>
      </c>
      <c r="I54" s="6" t="n">
        <v>0.22</v>
      </c>
      <c r="J54" s="5" t="n">
        <v>18.46</v>
      </c>
      <c r="K54" s="6" t="n">
        <v>0.6642</v>
      </c>
      <c r="L54" s="5" t="n">
        <v>11.7</v>
      </c>
      <c r="M54" s="5" t="n">
        <v>67.42</v>
      </c>
      <c r="N54" s="4" t="str">
        <f aca="false">IF(ABS(G54*I54-J54)&lt;=0.011,"OK","CHECK")</f>
        <v>OK</v>
      </c>
      <c r="O54" s="4" t="str">
        <f aca="false">IF(ABS(ROUND(G54*H54-J54,2)-M54)&lt;=0.011,"OK","CHECK")</f>
        <v>OK</v>
      </c>
      <c r="P54" s="4" t="str">
        <f aca="false">IF(ABS(ROUND(M54*21/121,2)-L54)&lt;=0.011,"OK","CHECK")</f>
        <v>OK</v>
      </c>
      <c r="Q54" s="4" t="str">
        <f aca="false">IF(ABS((M54-L54)/G54-K54)&lt;=0.0006,"OK","CHECK")</f>
        <v>OK</v>
      </c>
    </row>
    <row r="55" customFormat="false" ht="15" hidden="false" customHeight="true" outlineLevel="0" collapsed="false">
      <c r="A55" s="4" t="s">
        <v>44</v>
      </c>
      <c r="B55" s="4" t="s">
        <v>126</v>
      </c>
      <c r="C55" s="4" t="s">
        <v>55</v>
      </c>
      <c r="D55" s="4" t="s">
        <v>127</v>
      </c>
      <c r="E55" s="4" t="s">
        <v>8</v>
      </c>
      <c r="F55" s="4" t="s">
        <v>48</v>
      </c>
      <c r="G55" s="5" t="n">
        <v>370.1</v>
      </c>
      <c r="H55" s="6" t="n">
        <v>2.137</v>
      </c>
      <c r="I55" s="6" t="n">
        <v>0.23</v>
      </c>
      <c r="J55" s="5" t="n">
        <v>85.12</v>
      </c>
      <c r="K55" s="6" t="n">
        <v>1.576</v>
      </c>
      <c r="L55" s="5" t="n">
        <v>122.49</v>
      </c>
      <c r="M55" s="5" t="n">
        <v>705.78</v>
      </c>
      <c r="N55" s="4" t="str">
        <f aca="false">IF(ABS(G55*I55-J55)&lt;=0.011,"OK","CHECK")</f>
        <v>OK</v>
      </c>
      <c r="O55" s="4" t="str">
        <f aca="false">IF(ABS(ROUND(G55*H55-J55,2)-M55)&lt;=0.011,"OK","CHECK")</f>
        <v>OK</v>
      </c>
      <c r="P55" s="4" t="str">
        <f aca="false">IF(ABS(ROUND(M55*21/121,2)-L55)&lt;=0.011,"OK","CHECK")</f>
        <v>OK</v>
      </c>
      <c r="Q55" s="4" t="str">
        <f aca="false">IF(ABS((M55-L55)/G55-K55)&lt;=0.0006,"OK","CHECK")</f>
        <v>OK</v>
      </c>
    </row>
    <row r="56" customFormat="false" ht="15" hidden="false" customHeight="true" outlineLevel="0" collapsed="false">
      <c r="A56" s="4" t="s">
        <v>44</v>
      </c>
      <c r="B56" s="4" t="s">
        <v>126</v>
      </c>
      <c r="C56" s="4" t="s">
        <v>55</v>
      </c>
      <c r="D56" s="4" t="s">
        <v>128</v>
      </c>
      <c r="E56" s="4" t="s">
        <v>8</v>
      </c>
      <c r="F56" s="4" t="s">
        <v>48</v>
      </c>
      <c r="G56" s="5" t="n">
        <v>329.9</v>
      </c>
      <c r="H56" s="6" t="n">
        <v>2.137</v>
      </c>
      <c r="I56" s="6" t="n">
        <v>0.23</v>
      </c>
      <c r="J56" s="5" t="n">
        <v>75.88</v>
      </c>
      <c r="K56" s="6" t="n">
        <v>1.576</v>
      </c>
      <c r="L56" s="5" t="n">
        <v>109.19</v>
      </c>
      <c r="M56" s="5" t="n">
        <v>629.12</v>
      </c>
      <c r="N56" s="4" t="str">
        <f aca="false">IF(ABS(G56*I56-J56)&lt;=0.011,"OK","CHECK")</f>
        <v>OK</v>
      </c>
      <c r="O56" s="4" t="str">
        <f aca="false">IF(ABS(ROUND(G56*H56-J56,2)-M56)&lt;=0.011,"OK","CHECK")</f>
        <v>OK</v>
      </c>
      <c r="P56" s="4" t="str">
        <f aca="false">IF(ABS(ROUND(M56*21/121,2)-L56)&lt;=0.011,"OK","CHECK")</f>
        <v>OK</v>
      </c>
      <c r="Q56" s="4" t="str">
        <f aca="false">IF(ABS((M56-L56)/G56-K56)&lt;=0.0006,"OK","CHECK")</f>
        <v>OK</v>
      </c>
    </row>
    <row r="57" customFormat="false" ht="15" hidden="false" customHeight="true" outlineLevel="0" collapsed="false">
      <c r="A57" s="4" t="s">
        <v>44</v>
      </c>
      <c r="B57" s="4" t="s">
        <v>126</v>
      </c>
      <c r="C57" s="4" t="s">
        <v>55</v>
      </c>
      <c r="D57" s="4" t="s">
        <v>129</v>
      </c>
      <c r="E57" s="4" t="s">
        <v>8</v>
      </c>
      <c r="F57" s="4" t="s">
        <v>50</v>
      </c>
      <c r="G57" s="5" t="n">
        <v>55</v>
      </c>
      <c r="H57" s="6" t="n">
        <v>1.0237</v>
      </c>
      <c r="I57" s="6" t="n">
        <v>0.22</v>
      </c>
      <c r="J57" s="5" t="n">
        <v>12.1</v>
      </c>
      <c r="K57" s="6" t="n">
        <v>0.6642</v>
      </c>
      <c r="L57" s="5" t="n">
        <v>7.67</v>
      </c>
      <c r="M57" s="5" t="n">
        <v>44.2</v>
      </c>
      <c r="N57" s="4" t="str">
        <f aca="false">IF(ABS(G57*I57-J57)&lt;=0.011,"OK","CHECK")</f>
        <v>OK</v>
      </c>
      <c r="O57" s="4" t="str">
        <f aca="false">IF(ABS(ROUND(G57*H57-J57,2)-M57)&lt;=0.011,"OK","CHECK")</f>
        <v>OK</v>
      </c>
      <c r="P57" s="4" t="str">
        <f aca="false">IF(ABS(ROUND(M57*21/121,2)-L57)&lt;=0.011,"OK","CHECK")</f>
        <v>OK</v>
      </c>
      <c r="Q57" s="4" t="str">
        <f aca="false">IF(ABS((M57-L57)/G57-K57)&lt;=0.0006,"OK","CHECK")</f>
        <v>OK</v>
      </c>
    </row>
    <row r="58" customFormat="false" ht="15" hidden="false" customHeight="true" outlineLevel="0" collapsed="false">
      <c r="A58" s="4" t="s">
        <v>44</v>
      </c>
      <c r="B58" s="4" t="s">
        <v>126</v>
      </c>
      <c r="C58" s="4" t="s">
        <v>79</v>
      </c>
      <c r="D58" s="4" t="s">
        <v>130</v>
      </c>
      <c r="E58" s="4" t="s">
        <v>8</v>
      </c>
      <c r="F58" s="4" t="s">
        <v>48</v>
      </c>
      <c r="G58" s="5" t="n">
        <v>600</v>
      </c>
      <c r="H58" s="6" t="n">
        <v>2.178</v>
      </c>
      <c r="I58" s="6" t="n">
        <v>0.23</v>
      </c>
      <c r="J58" s="5" t="n">
        <v>138</v>
      </c>
      <c r="K58" s="6" t="n">
        <v>1.6099</v>
      </c>
      <c r="L58" s="5" t="n">
        <v>202.85</v>
      </c>
      <c r="M58" s="5" t="n">
        <v>1168.8</v>
      </c>
      <c r="N58" s="4" t="str">
        <f aca="false">IF(ABS(G58*I58-J58)&lt;=0.011,"OK","CHECK")</f>
        <v>OK</v>
      </c>
      <c r="O58" s="4" t="str">
        <f aca="false">IF(ABS(ROUND(G58*H58-J58,2)-M58)&lt;=0.011,"OK","CHECK")</f>
        <v>OK</v>
      </c>
      <c r="P58" s="4" t="str">
        <f aca="false">IF(ABS(ROUND(M58*21/121,2)-L58)&lt;=0.011,"OK","CHECK")</f>
        <v>OK</v>
      </c>
      <c r="Q58" s="4" t="str">
        <f aca="false">IF(ABS((M58-L58)/G58-K58)&lt;=0.0006,"OK","CHECK")</f>
        <v>OK</v>
      </c>
    </row>
    <row r="59" customFormat="false" ht="15" hidden="false" customHeight="true" outlineLevel="0" collapsed="false">
      <c r="A59" s="4" t="s">
        <v>44</v>
      </c>
      <c r="B59" s="4" t="s">
        <v>126</v>
      </c>
      <c r="C59" s="4" t="s">
        <v>79</v>
      </c>
      <c r="D59" s="4" t="s">
        <v>131</v>
      </c>
      <c r="E59" s="4" t="s">
        <v>8</v>
      </c>
      <c r="F59" s="4" t="s">
        <v>50</v>
      </c>
      <c r="G59" s="5" t="n">
        <v>50</v>
      </c>
      <c r="H59" s="6" t="n">
        <v>1.0237</v>
      </c>
      <c r="I59" s="6" t="n">
        <v>0.22</v>
      </c>
      <c r="J59" s="5" t="n">
        <v>11</v>
      </c>
      <c r="K59" s="6" t="n">
        <v>0.6642</v>
      </c>
      <c r="L59" s="5" t="n">
        <v>6.98</v>
      </c>
      <c r="M59" s="5" t="n">
        <v>40.19</v>
      </c>
      <c r="N59" s="4" t="str">
        <f aca="false">IF(ABS(G59*I59-J59)&lt;=0.011,"OK","CHECK")</f>
        <v>OK</v>
      </c>
      <c r="O59" s="4" t="str">
        <f aca="false">IF(ABS(ROUND(G59*H59-J59,2)-M59)&lt;=0.011,"OK","CHECK")</f>
        <v>OK</v>
      </c>
      <c r="P59" s="4" t="str">
        <f aca="false">IF(ABS(ROUND(M59*21/121,2)-L59)&lt;=0.011,"OK","CHECK")</f>
        <v>OK</v>
      </c>
      <c r="Q59" s="4" t="str">
        <f aca="false">IF(ABS((M59-L59)/G59-K59)&lt;=0.0006,"OK","CHECK")</f>
        <v>OK</v>
      </c>
    </row>
    <row r="60" customFormat="false" ht="15" hidden="false" customHeight="true" outlineLevel="0" collapsed="false">
      <c r="A60" s="4" t="s">
        <v>44</v>
      </c>
      <c r="B60" s="4" t="s">
        <v>132</v>
      </c>
      <c r="C60" s="4" t="s">
        <v>64</v>
      </c>
      <c r="D60" s="4" t="s">
        <v>133</v>
      </c>
      <c r="E60" s="4" t="s">
        <v>8</v>
      </c>
      <c r="F60" s="4" t="s">
        <v>50</v>
      </c>
      <c r="G60" s="5" t="n">
        <v>33</v>
      </c>
      <c r="H60" s="6" t="n">
        <v>1.0237</v>
      </c>
      <c r="I60" s="6" t="n">
        <v>0.22</v>
      </c>
      <c r="J60" s="5" t="n">
        <v>7.26</v>
      </c>
      <c r="K60" s="6" t="n">
        <v>0.6642</v>
      </c>
      <c r="L60" s="5" t="n">
        <v>4.6</v>
      </c>
      <c r="M60" s="5" t="n">
        <v>26.52</v>
      </c>
      <c r="N60" s="4" t="str">
        <f aca="false">IF(ABS(G60*I60-J60)&lt;=0.011,"OK","CHECK")</f>
        <v>OK</v>
      </c>
      <c r="O60" s="4" t="str">
        <f aca="false">IF(ABS(ROUND(G60*H60-J60,2)-M60)&lt;=0.011,"OK","CHECK")</f>
        <v>OK</v>
      </c>
      <c r="P60" s="4" t="str">
        <f aca="false">IF(ABS(ROUND(M60*21/121,2)-L60)&lt;=0.011,"OK","CHECK")</f>
        <v>OK</v>
      </c>
      <c r="Q60" s="4" t="str">
        <f aca="false">IF(ABS((M60-L60)/G60-K60)&lt;=0.0006,"OK","CHECK")</f>
        <v>OK</v>
      </c>
    </row>
    <row r="61" customFormat="false" ht="15" hidden="false" customHeight="true" outlineLevel="0" collapsed="false">
      <c r="A61" s="4" t="s">
        <v>44</v>
      </c>
      <c r="B61" s="4" t="s">
        <v>132</v>
      </c>
      <c r="C61" s="4" t="s">
        <v>64</v>
      </c>
      <c r="D61" s="4" t="s">
        <v>134</v>
      </c>
      <c r="E61" s="4" t="s">
        <v>8</v>
      </c>
      <c r="F61" s="4" t="s">
        <v>48</v>
      </c>
      <c r="G61" s="5" t="n">
        <v>705</v>
      </c>
      <c r="H61" s="6" t="n">
        <v>2.245</v>
      </c>
      <c r="I61" s="6" t="n">
        <v>0.23</v>
      </c>
      <c r="J61" s="5" t="n">
        <v>162.15</v>
      </c>
      <c r="K61" s="6" t="n">
        <v>1.6653</v>
      </c>
      <c r="L61" s="5" t="n">
        <v>246.55</v>
      </c>
      <c r="M61" s="5" t="n">
        <v>1420.58</v>
      </c>
      <c r="N61" s="4" t="str">
        <f aca="false">IF(ABS(G61*I61-J61)&lt;=0.011,"OK","CHECK")</f>
        <v>OK</v>
      </c>
      <c r="O61" s="4" t="str">
        <f aca="false">IF(ABS(ROUND(G61*H61-J61,2)-M61)&lt;=0.011,"OK","CHECK")</f>
        <v>OK</v>
      </c>
      <c r="P61" s="4" t="str">
        <f aca="false">IF(ABS(ROUND(M61*21/121,2)-L61)&lt;=0.011,"OK","CHECK")</f>
        <v>OK</v>
      </c>
      <c r="Q61" s="4" t="str">
        <f aca="false">IF(ABS((M61-L61)/G61-K61)&lt;=0.0006,"OK","CHECK")</f>
        <v>OK</v>
      </c>
    </row>
    <row r="62" customFormat="false" ht="15" hidden="false" customHeight="true" outlineLevel="0" collapsed="false">
      <c r="A62" s="4" t="s">
        <v>44</v>
      </c>
      <c r="B62" s="4" t="s">
        <v>135</v>
      </c>
      <c r="C62" s="4" t="s">
        <v>46</v>
      </c>
      <c r="D62" s="4" t="s">
        <v>136</v>
      </c>
      <c r="E62" s="4" t="s">
        <v>8</v>
      </c>
      <c r="F62" s="4" t="s">
        <v>48</v>
      </c>
      <c r="G62" s="5" t="n">
        <v>706.08</v>
      </c>
      <c r="H62" s="6" t="n">
        <v>2.245</v>
      </c>
      <c r="I62" s="6" t="n">
        <v>0.23</v>
      </c>
      <c r="J62" s="5" t="n">
        <v>162.4</v>
      </c>
      <c r="K62" s="6" t="n">
        <v>1.6653</v>
      </c>
      <c r="L62" s="5" t="n">
        <v>246.92</v>
      </c>
      <c r="M62" s="5" t="n">
        <v>1422.75</v>
      </c>
      <c r="N62" s="4" t="str">
        <f aca="false">IF(ABS(G62*I62-J62)&lt;=0.011,"OK","CHECK")</f>
        <v>OK</v>
      </c>
      <c r="O62" s="4" t="str">
        <f aca="false">IF(ABS(ROUND(G62*H62-J62,2)-M62)&lt;=0.011,"OK","CHECK")</f>
        <v>OK</v>
      </c>
      <c r="P62" s="4" t="str">
        <f aca="false">IF(ABS(ROUND(M62*21/121,2)-L62)&lt;=0.011,"OK","CHECK")</f>
        <v>OK</v>
      </c>
      <c r="Q62" s="4" t="str">
        <f aca="false">IF(ABS((M62-L62)/G62-K62)&lt;=0.0006,"OK","CHECK")</f>
        <v>OK</v>
      </c>
    </row>
    <row r="63" customFormat="false" ht="15" hidden="false" customHeight="true" outlineLevel="0" collapsed="false">
      <c r="A63" s="4" t="s">
        <v>44</v>
      </c>
      <c r="B63" s="4" t="s">
        <v>135</v>
      </c>
      <c r="C63" s="4" t="s">
        <v>137</v>
      </c>
      <c r="D63" s="4" t="s">
        <v>138</v>
      </c>
      <c r="E63" s="4" t="s">
        <v>8</v>
      </c>
      <c r="F63" s="4" t="s">
        <v>48</v>
      </c>
      <c r="G63" s="5" t="n">
        <v>165</v>
      </c>
      <c r="H63" s="6" t="n">
        <v>2.245</v>
      </c>
      <c r="I63" s="6" t="n">
        <v>0.23</v>
      </c>
      <c r="J63" s="5" t="n">
        <v>37.95</v>
      </c>
      <c r="K63" s="6" t="n">
        <v>1.6653</v>
      </c>
      <c r="L63" s="5" t="n">
        <v>57.7</v>
      </c>
      <c r="M63" s="5" t="n">
        <v>332.48</v>
      </c>
      <c r="N63" s="4" t="str">
        <f aca="false">IF(ABS(G63*I63-J63)&lt;=0.011,"OK","CHECK")</f>
        <v>OK</v>
      </c>
      <c r="O63" s="4" t="str">
        <f aca="false">IF(ABS(ROUND(G63*H63-J63,2)-M63)&lt;=0.011,"OK","CHECK")</f>
        <v>OK</v>
      </c>
      <c r="P63" s="4" t="str">
        <f aca="false">IF(ABS(ROUND(M63*21/121,2)-L63)&lt;=0.011,"OK","CHECK")</f>
        <v>OK</v>
      </c>
      <c r="Q63" s="4" t="str">
        <f aca="false">IF(ABS((M63-L63)/G63-K63)&lt;=0.0006,"OK","CHECK")</f>
        <v>OK</v>
      </c>
    </row>
    <row r="64" customFormat="false" ht="15" hidden="false" customHeight="true" outlineLevel="0" collapsed="false">
      <c r="A64" s="4" t="s">
        <v>44</v>
      </c>
      <c r="B64" s="4" t="s">
        <v>135</v>
      </c>
      <c r="C64" s="4" t="s">
        <v>137</v>
      </c>
      <c r="D64" s="4" t="s">
        <v>139</v>
      </c>
      <c r="E64" s="4" t="s">
        <v>8</v>
      </c>
      <c r="F64" s="4" t="s">
        <v>50</v>
      </c>
      <c r="G64" s="5" t="n">
        <v>25.16</v>
      </c>
      <c r="H64" s="6" t="n">
        <v>1.0237</v>
      </c>
      <c r="I64" s="6" t="n">
        <v>0.22</v>
      </c>
      <c r="J64" s="5" t="n">
        <v>5.54</v>
      </c>
      <c r="K64" s="6" t="n">
        <v>0.6641</v>
      </c>
      <c r="L64" s="5" t="n">
        <v>3.51</v>
      </c>
      <c r="M64" s="5" t="n">
        <v>20.22</v>
      </c>
      <c r="N64" s="4" t="str">
        <f aca="false">IF(ABS(G64*I64-J64)&lt;=0.011,"OK","CHECK")</f>
        <v>OK</v>
      </c>
      <c r="O64" s="4" t="str">
        <f aca="false">IF(ABS(ROUND(G64*H64-J64,2)-M64)&lt;=0.011,"OK","CHECK")</f>
        <v>OK</v>
      </c>
      <c r="P64" s="4" t="str">
        <f aca="false">IF(ABS(ROUND(M64*21/121,2)-L64)&lt;=0.011,"OK","CHECK")</f>
        <v>OK</v>
      </c>
      <c r="Q64" s="4" t="str">
        <f aca="false">IF(ABS((M64-L64)/G64-K64)&lt;=0.0006,"OK","CHECK")</f>
        <v>OK</v>
      </c>
    </row>
    <row r="65" customFormat="false" ht="15" hidden="false" customHeight="true" outlineLevel="0" collapsed="false">
      <c r="A65" s="4" t="s">
        <v>44</v>
      </c>
      <c r="B65" s="4" t="s">
        <v>135</v>
      </c>
      <c r="C65" s="4" t="s">
        <v>61</v>
      </c>
      <c r="D65" s="4" t="s">
        <v>140</v>
      </c>
      <c r="E65" s="4" t="s">
        <v>8</v>
      </c>
      <c r="F65" s="4" t="s">
        <v>48</v>
      </c>
      <c r="G65" s="5" t="n">
        <v>662.02</v>
      </c>
      <c r="H65" s="6" t="n">
        <v>2.137</v>
      </c>
      <c r="I65" s="6" t="n">
        <v>0.23</v>
      </c>
      <c r="J65" s="5" t="n">
        <v>152.26</v>
      </c>
      <c r="K65" s="6" t="n">
        <v>1.576</v>
      </c>
      <c r="L65" s="5" t="n">
        <v>219.11</v>
      </c>
      <c r="M65" s="5" t="n">
        <v>1262.48</v>
      </c>
      <c r="N65" s="4" t="str">
        <f aca="false">IF(ABS(G65*I65-J65)&lt;=0.011,"OK","CHECK")</f>
        <v>OK</v>
      </c>
      <c r="O65" s="4" t="str">
        <f aca="false">IF(ABS(ROUND(G65*H65-J65,2)-M65)&lt;=0.011,"OK","CHECK")</f>
        <v>OK</v>
      </c>
      <c r="P65" s="4" t="str">
        <f aca="false">IF(ABS(ROUND(M65*21/121,2)-L65)&lt;=0.011,"OK","CHECK")</f>
        <v>OK</v>
      </c>
      <c r="Q65" s="4" t="str">
        <f aca="false">IF(ABS((M65-L65)/G65-K65)&lt;=0.0006,"OK","CHECK")</f>
        <v>OK</v>
      </c>
    </row>
    <row r="66" customFormat="false" ht="15" hidden="false" customHeight="true" outlineLevel="0" collapsed="false">
      <c r="A66" s="4" t="s">
        <v>44</v>
      </c>
      <c r="B66" s="4" t="s">
        <v>135</v>
      </c>
      <c r="C66" s="4" t="s">
        <v>61</v>
      </c>
      <c r="D66" s="4" t="s">
        <v>141</v>
      </c>
      <c r="E66" s="4" t="s">
        <v>8</v>
      </c>
      <c r="F66" s="4" t="s">
        <v>50</v>
      </c>
      <c r="G66" s="5" t="n">
        <v>52.9</v>
      </c>
      <c r="H66" s="6" t="n">
        <v>1.0237</v>
      </c>
      <c r="I66" s="6" t="n">
        <v>0.22</v>
      </c>
      <c r="J66" s="5" t="n">
        <v>11.64</v>
      </c>
      <c r="K66" s="6" t="n">
        <v>0.6641</v>
      </c>
      <c r="L66" s="5" t="n">
        <v>7.38</v>
      </c>
      <c r="M66" s="5" t="n">
        <v>42.51</v>
      </c>
      <c r="N66" s="4" t="str">
        <f aca="false">IF(ABS(G66*I66-J66)&lt;=0.011,"OK","CHECK")</f>
        <v>OK</v>
      </c>
      <c r="O66" s="4" t="str">
        <f aca="false">IF(ABS(ROUND(G66*H66-J66,2)-M66)&lt;=0.011,"OK","CHECK")</f>
        <v>OK</v>
      </c>
      <c r="P66" s="4" t="str">
        <f aca="false">IF(ABS(ROUND(M66*21/121,2)-L66)&lt;=0.011,"OK","CHECK")</f>
        <v>OK</v>
      </c>
      <c r="Q66" s="4" t="str">
        <f aca="false">IF(ABS((M66-L66)/G66-K66)&lt;=0.0006,"OK","CHECK")</f>
        <v>OK</v>
      </c>
    </row>
    <row r="67" customFormat="false" ht="15" hidden="false" customHeight="true" outlineLevel="0" collapsed="false">
      <c r="A67" s="4" t="s">
        <v>44</v>
      </c>
      <c r="B67" s="4" t="s">
        <v>142</v>
      </c>
      <c r="C67" s="4" t="s">
        <v>64</v>
      </c>
      <c r="D67" s="4" t="s">
        <v>143</v>
      </c>
      <c r="E67" s="4" t="s">
        <v>10</v>
      </c>
      <c r="F67" s="4" t="s">
        <v>48</v>
      </c>
      <c r="G67" s="5" t="n">
        <v>427.62</v>
      </c>
      <c r="H67" s="6" t="n">
        <v>2.245</v>
      </c>
      <c r="I67" s="6" t="n">
        <v>0.18</v>
      </c>
      <c r="J67" s="5" t="n">
        <v>76.97</v>
      </c>
      <c r="K67" s="6" t="n">
        <v>1.7066</v>
      </c>
      <c r="L67" s="5" t="n">
        <v>153.25</v>
      </c>
      <c r="M67" s="5" t="n">
        <v>883.04</v>
      </c>
      <c r="N67" s="4" t="str">
        <f aca="false">IF(ABS(G67*I67-J67)&lt;=0.011,"OK","CHECK")</f>
        <v>OK</v>
      </c>
      <c r="O67" s="4" t="str">
        <f aca="false">IF(ABS(ROUND(G67*H67-J67,2)-M67)&lt;=0.011,"OK","CHECK")</f>
        <v>OK</v>
      </c>
      <c r="P67" s="4" t="str">
        <f aca="false">IF(ABS(ROUND(M67*21/121,2)-L67)&lt;=0.011,"OK","CHECK")</f>
        <v>OK</v>
      </c>
      <c r="Q67" s="4" t="str">
        <f aca="false">IF(ABS((M67-L67)/G67-K67)&lt;=0.0006,"OK","CHECK")</f>
        <v>OK</v>
      </c>
    </row>
    <row r="68" customFormat="false" ht="15" hidden="false" customHeight="true" outlineLevel="0" collapsed="false">
      <c r="A68" s="4" t="s">
        <v>44</v>
      </c>
      <c r="B68" s="4" t="s">
        <v>142</v>
      </c>
      <c r="C68" s="4" t="s">
        <v>64</v>
      </c>
      <c r="D68" s="4" t="s">
        <v>144</v>
      </c>
      <c r="E68" s="4" t="s">
        <v>10</v>
      </c>
      <c r="F68" s="4" t="s">
        <v>48</v>
      </c>
      <c r="G68" s="5" t="n">
        <v>152.39</v>
      </c>
      <c r="H68" s="6" t="n">
        <v>2.245</v>
      </c>
      <c r="I68" s="6" t="n">
        <v>0.18</v>
      </c>
      <c r="J68" s="5" t="n">
        <v>27.43</v>
      </c>
      <c r="K68" s="6" t="n">
        <v>1.7066</v>
      </c>
      <c r="L68" s="5" t="n">
        <v>54.62</v>
      </c>
      <c r="M68" s="5" t="n">
        <v>314.69</v>
      </c>
      <c r="N68" s="4" t="str">
        <f aca="false">IF(ABS(G68*I68-J68)&lt;=0.011,"OK","CHECK")</f>
        <v>OK</v>
      </c>
      <c r="O68" s="4" t="str">
        <f aca="false">IF(ABS(ROUND(G68*H68-J68,2)-M68)&lt;=0.011,"OK","CHECK")</f>
        <v>OK</v>
      </c>
      <c r="P68" s="4" t="str">
        <f aca="false">IF(ABS(ROUND(M68*21/121,2)-L68)&lt;=0.011,"OK","CHECK")</f>
        <v>OK</v>
      </c>
      <c r="Q68" s="4" t="str">
        <f aca="false">IF(ABS((M68-L68)/G68-K68)&lt;=0.0006,"OK","CHECK")</f>
        <v>OK</v>
      </c>
    </row>
    <row r="69" customFormat="false" ht="15" hidden="false" customHeight="true" outlineLevel="0" collapsed="false">
      <c r="A69" s="4" t="s">
        <v>44</v>
      </c>
      <c r="B69" s="4" t="s">
        <v>142</v>
      </c>
      <c r="C69" s="4" t="s">
        <v>64</v>
      </c>
      <c r="D69" s="4" t="s">
        <v>145</v>
      </c>
      <c r="E69" s="4" t="s">
        <v>10</v>
      </c>
      <c r="F69" s="4" t="s">
        <v>50</v>
      </c>
      <c r="G69" s="5" t="n">
        <v>51.85</v>
      </c>
      <c r="H69" s="6" t="n">
        <v>0.999</v>
      </c>
      <c r="I69" s="6" t="n">
        <v>0.23</v>
      </c>
      <c r="J69" s="5" t="n">
        <v>11.93</v>
      </c>
      <c r="K69" s="6" t="n">
        <v>0.6355</v>
      </c>
      <c r="L69" s="5" t="n">
        <v>6.92</v>
      </c>
      <c r="M69" s="5" t="n">
        <v>39.87</v>
      </c>
      <c r="N69" s="4" t="str">
        <f aca="false">IF(ABS(G69*I69-J69)&lt;=0.011,"OK","CHECK")</f>
        <v>OK</v>
      </c>
      <c r="O69" s="4" t="str">
        <f aca="false">IF(ABS(ROUND(G69*H69-J69,2)-M69)&lt;=0.011,"OK","CHECK")</f>
        <v>OK</v>
      </c>
      <c r="P69" s="4" t="str">
        <f aca="false">IF(ABS(ROUND(M69*21/121,2)-L69)&lt;=0.011,"OK","CHECK")</f>
        <v>OK</v>
      </c>
      <c r="Q69" s="4" t="str">
        <f aca="false">IF(ABS((M69-L69)/G69-K69)&lt;=0.0006,"OK","CHECK")</f>
        <v>OK</v>
      </c>
    </row>
    <row r="70" customFormat="false" ht="15" hidden="false" customHeight="true" outlineLevel="0" collapsed="false">
      <c r="A70" s="4" t="s">
        <v>44</v>
      </c>
      <c r="B70" s="4" t="s">
        <v>142</v>
      </c>
      <c r="C70" s="4" t="s">
        <v>55</v>
      </c>
      <c r="D70" s="4" t="s">
        <v>146</v>
      </c>
      <c r="E70" s="4" t="s">
        <v>10</v>
      </c>
      <c r="F70" s="4" t="s">
        <v>48</v>
      </c>
      <c r="G70" s="5" t="n">
        <v>449.23</v>
      </c>
      <c r="H70" s="6" t="n">
        <v>2.137</v>
      </c>
      <c r="I70" s="6" t="n">
        <v>0.18</v>
      </c>
      <c r="J70" s="5" t="n">
        <v>80.86</v>
      </c>
      <c r="K70" s="6" t="n">
        <v>1.6173</v>
      </c>
      <c r="L70" s="5" t="n">
        <v>152.58</v>
      </c>
      <c r="M70" s="5" t="n">
        <v>879.14</v>
      </c>
      <c r="N70" s="4" t="str">
        <f aca="false">IF(ABS(G70*I70-J70)&lt;=0.011,"OK","CHECK")</f>
        <v>OK</v>
      </c>
      <c r="O70" s="4" t="str">
        <f aca="false">IF(ABS(ROUND(G70*H70-J70,2)-M70)&lt;=0.011,"OK","CHECK")</f>
        <v>OK</v>
      </c>
      <c r="P70" s="4" t="str">
        <f aca="false">IF(ABS(ROUND(M70*21/121,2)-L70)&lt;=0.011,"OK","CHECK")</f>
        <v>OK</v>
      </c>
      <c r="Q70" s="4" t="str">
        <f aca="false">IF(ABS((M70-L70)/G70-K70)&lt;=0.0006,"OK","CHECK")</f>
        <v>OK</v>
      </c>
    </row>
    <row r="71" customFormat="false" ht="15" hidden="false" customHeight="true" outlineLevel="0" collapsed="false">
      <c r="A71" s="4" t="s">
        <v>44</v>
      </c>
      <c r="B71" s="4" t="s">
        <v>142</v>
      </c>
      <c r="C71" s="4" t="s">
        <v>55</v>
      </c>
      <c r="D71" s="4" t="s">
        <v>147</v>
      </c>
      <c r="E71" s="4" t="s">
        <v>10</v>
      </c>
      <c r="F71" s="4" t="s">
        <v>48</v>
      </c>
      <c r="G71" s="5" t="n">
        <v>352.77</v>
      </c>
      <c r="H71" s="6" t="n">
        <v>2.137</v>
      </c>
      <c r="I71" s="6" t="n">
        <v>0.18</v>
      </c>
      <c r="J71" s="5" t="n">
        <v>63.5</v>
      </c>
      <c r="K71" s="6" t="n">
        <v>1.6173</v>
      </c>
      <c r="L71" s="5" t="n">
        <v>119.82</v>
      </c>
      <c r="M71" s="5" t="n">
        <v>690.37</v>
      </c>
      <c r="N71" s="4" t="str">
        <f aca="false">IF(ABS(G71*I71-J71)&lt;=0.011,"OK","CHECK")</f>
        <v>OK</v>
      </c>
      <c r="O71" s="4" t="str">
        <f aca="false">IF(ABS(ROUND(G71*H71-J71,2)-M71)&lt;=0.011,"OK","CHECK")</f>
        <v>OK</v>
      </c>
      <c r="P71" s="4" t="str">
        <f aca="false">IF(ABS(ROUND(M71*21/121,2)-L71)&lt;=0.011,"OK","CHECK")</f>
        <v>OK</v>
      </c>
      <c r="Q71" s="4" t="str">
        <f aca="false">IF(ABS((M71-L71)/G71-K71)&lt;=0.0006,"OK","CHECK")</f>
        <v>OK</v>
      </c>
    </row>
    <row r="72" customFormat="false" ht="15" hidden="false" customHeight="true" outlineLevel="0" collapsed="false">
      <c r="A72" s="4" t="s">
        <v>44</v>
      </c>
      <c r="B72" s="4" t="s">
        <v>142</v>
      </c>
      <c r="C72" s="4" t="s">
        <v>55</v>
      </c>
      <c r="D72" s="4" t="s">
        <v>148</v>
      </c>
      <c r="E72" s="4" t="s">
        <v>10</v>
      </c>
      <c r="F72" s="4" t="s">
        <v>50</v>
      </c>
      <c r="G72" s="5" t="n">
        <v>58.03</v>
      </c>
      <c r="H72" s="6" t="n">
        <v>0.999</v>
      </c>
      <c r="I72" s="6" t="n">
        <v>0.23</v>
      </c>
      <c r="J72" s="5" t="n">
        <v>13.35</v>
      </c>
      <c r="K72" s="6" t="n">
        <v>0.6355</v>
      </c>
      <c r="L72" s="5" t="n">
        <v>7.74</v>
      </c>
      <c r="M72" s="5" t="n">
        <v>44.62</v>
      </c>
      <c r="N72" s="4" t="str">
        <f aca="false">IF(ABS(G72*I72-J72)&lt;=0.011,"OK","CHECK")</f>
        <v>OK</v>
      </c>
      <c r="O72" s="4" t="str">
        <f aca="false">IF(ABS(ROUND(G72*H72-J72,2)-M72)&lt;=0.011,"OK","CHECK")</f>
        <v>OK</v>
      </c>
      <c r="P72" s="4" t="str">
        <f aca="false">IF(ABS(ROUND(M72*21/121,2)-L72)&lt;=0.011,"OK","CHECK")</f>
        <v>OK</v>
      </c>
      <c r="Q72" s="4" t="str">
        <f aca="false">IF(ABS((M72-L72)/G72-K72)&lt;=0.0006,"OK","CHECK")</f>
        <v>OK</v>
      </c>
    </row>
    <row r="73" customFormat="false" ht="15" hidden="false" customHeight="true" outlineLevel="0" collapsed="false">
      <c r="A73" s="4" t="s">
        <v>44</v>
      </c>
      <c r="B73" s="4" t="s">
        <v>142</v>
      </c>
      <c r="C73" s="4" t="s">
        <v>79</v>
      </c>
      <c r="D73" s="4" t="s">
        <v>149</v>
      </c>
      <c r="E73" s="4" t="s">
        <v>8</v>
      </c>
      <c r="F73" s="4" t="s">
        <v>48</v>
      </c>
      <c r="G73" s="5" t="n">
        <v>480</v>
      </c>
      <c r="H73" s="6" t="n">
        <v>2.178</v>
      </c>
      <c r="I73" s="6" t="n">
        <v>0.23</v>
      </c>
      <c r="J73" s="5" t="n">
        <v>110.4</v>
      </c>
      <c r="K73" s="6" t="n">
        <v>1.6099</v>
      </c>
      <c r="L73" s="5" t="n">
        <v>162.28</v>
      </c>
      <c r="M73" s="5" t="n">
        <v>935.04</v>
      </c>
      <c r="N73" s="4" t="str">
        <f aca="false">IF(ABS(G73*I73-J73)&lt;=0.011,"OK","CHECK")</f>
        <v>OK</v>
      </c>
      <c r="O73" s="4" t="str">
        <f aca="false">IF(ABS(ROUND(G73*H73-J73,2)-M73)&lt;=0.011,"OK","CHECK")</f>
        <v>OK</v>
      </c>
      <c r="P73" s="4" t="str">
        <f aca="false">IF(ABS(ROUND(M73*21/121,2)-L73)&lt;=0.011,"OK","CHECK")</f>
        <v>OK</v>
      </c>
      <c r="Q73" s="4" t="str">
        <f aca="false">IF(ABS((M73-L73)/G73-K73)&lt;=0.0006,"OK","CHECK")</f>
        <v>OK</v>
      </c>
    </row>
    <row r="74" customFormat="false" ht="15" hidden="false" customHeight="true" outlineLevel="0" collapsed="false">
      <c r="A74" s="4" t="s">
        <v>44</v>
      </c>
      <c r="B74" s="4" t="s">
        <v>142</v>
      </c>
      <c r="C74" s="4" t="s">
        <v>79</v>
      </c>
      <c r="D74" s="4" t="s">
        <v>150</v>
      </c>
      <c r="E74" s="4" t="s">
        <v>8</v>
      </c>
      <c r="F74" s="4" t="s">
        <v>50</v>
      </c>
      <c r="G74" s="5" t="n">
        <v>34</v>
      </c>
      <c r="H74" s="6" t="n">
        <v>1.0237</v>
      </c>
      <c r="I74" s="6" t="n">
        <v>0.22</v>
      </c>
      <c r="J74" s="5" t="n">
        <v>7.48</v>
      </c>
      <c r="K74" s="6" t="n">
        <v>0.6644</v>
      </c>
      <c r="L74" s="5" t="n">
        <v>4.74</v>
      </c>
      <c r="M74" s="5" t="n">
        <v>27.33</v>
      </c>
      <c r="N74" s="4" t="str">
        <f aca="false">IF(ABS(G74*I74-J74)&lt;=0.011,"OK","CHECK")</f>
        <v>OK</v>
      </c>
      <c r="O74" s="4" t="str">
        <f aca="false">IF(ABS(ROUND(G74*H74-J74,2)-M74)&lt;=0.011,"OK","CHECK")</f>
        <v>OK</v>
      </c>
      <c r="P74" s="4" t="str">
        <f aca="false">IF(ABS(ROUND(M74*21/121,2)-L74)&lt;=0.011,"OK","CHECK")</f>
        <v>OK</v>
      </c>
      <c r="Q74" s="4" t="str">
        <f aca="false">IF(ABS((M74-L74)/G74-K74)&lt;=0.0006,"OK","CHECK")</f>
        <v>OK</v>
      </c>
    </row>
    <row r="75" customFormat="false" ht="15" hidden="false" customHeight="true" outlineLevel="0" collapsed="false">
      <c r="A75" s="4" t="s">
        <v>44</v>
      </c>
      <c r="B75" s="4" t="s">
        <v>151</v>
      </c>
      <c r="C75" s="4" t="s">
        <v>72</v>
      </c>
      <c r="D75" s="4" t="s">
        <v>152</v>
      </c>
      <c r="E75" s="4" t="s">
        <v>10</v>
      </c>
      <c r="F75" s="4" t="s">
        <v>48</v>
      </c>
      <c r="G75" s="5" t="n">
        <v>350</v>
      </c>
      <c r="H75" s="6" t="n">
        <v>2.245</v>
      </c>
      <c r="I75" s="6" t="n">
        <v>0.18</v>
      </c>
      <c r="J75" s="5" t="n">
        <v>63</v>
      </c>
      <c r="K75" s="6" t="n">
        <v>1.7066</v>
      </c>
      <c r="L75" s="5" t="n">
        <v>125.44</v>
      </c>
      <c r="M75" s="5" t="n">
        <v>722.75</v>
      </c>
      <c r="N75" s="4" t="str">
        <f aca="false">IF(ABS(G75*I75-J75)&lt;=0.011,"OK","CHECK")</f>
        <v>OK</v>
      </c>
      <c r="O75" s="4" t="str">
        <f aca="false">IF(ABS(ROUND(G75*H75-J75,2)-M75)&lt;=0.011,"OK","CHECK")</f>
        <v>OK</v>
      </c>
      <c r="P75" s="4" t="str">
        <f aca="false">IF(ABS(ROUND(M75*21/121,2)-L75)&lt;=0.011,"OK","CHECK")</f>
        <v>OK</v>
      </c>
      <c r="Q75" s="4" t="str">
        <f aca="false">IF(ABS((M75-L75)/G75-K75)&lt;=0.0006,"OK","CHECK")</f>
        <v>OK</v>
      </c>
    </row>
    <row r="76" customFormat="false" ht="15" hidden="false" customHeight="true" outlineLevel="0" collapsed="false">
      <c r="A76" s="4" t="s">
        <v>44</v>
      </c>
      <c r="B76" s="4" t="s">
        <v>151</v>
      </c>
      <c r="C76" s="4" t="s">
        <v>72</v>
      </c>
      <c r="D76" s="4" t="s">
        <v>153</v>
      </c>
      <c r="E76" s="4" t="s">
        <v>10</v>
      </c>
      <c r="F76" s="4" t="s">
        <v>50</v>
      </c>
      <c r="G76" s="5" t="n">
        <v>25</v>
      </c>
      <c r="H76" s="6" t="n">
        <v>0.999</v>
      </c>
      <c r="I76" s="6" t="n">
        <v>0.23</v>
      </c>
      <c r="J76" s="5" t="n">
        <v>5.75</v>
      </c>
      <c r="K76" s="6" t="n">
        <v>0.6356</v>
      </c>
      <c r="L76" s="5" t="n">
        <v>3.34</v>
      </c>
      <c r="M76" s="5" t="n">
        <v>19.23</v>
      </c>
      <c r="N76" s="4" t="str">
        <f aca="false">IF(ABS(G76*I76-J76)&lt;=0.011,"OK","CHECK")</f>
        <v>OK</v>
      </c>
      <c r="O76" s="4" t="str">
        <f aca="false">IF(ABS(ROUND(G76*H76-J76,2)-M76)&lt;=0.011,"OK","CHECK")</f>
        <v>OK</v>
      </c>
      <c r="P76" s="4" t="str">
        <f aca="false">IF(ABS(ROUND(M76*21/121,2)-L76)&lt;=0.011,"OK","CHECK")</f>
        <v>OK</v>
      </c>
      <c r="Q76" s="4" t="str">
        <f aca="false">IF(ABS((M76-L76)/G76-K76)&lt;=0.0006,"OK","CHECK")</f>
        <v>OK</v>
      </c>
    </row>
    <row r="77" customFormat="false" ht="15" hidden="false" customHeight="true" outlineLevel="0" collapsed="false">
      <c r="A77" s="4" t="s">
        <v>44</v>
      </c>
      <c r="B77" s="4" t="s">
        <v>154</v>
      </c>
      <c r="C77" s="4" t="s">
        <v>52</v>
      </c>
      <c r="D77" s="4" t="s">
        <v>155</v>
      </c>
      <c r="E77" s="4" t="s">
        <v>8</v>
      </c>
      <c r="F77" s="4" t="s">
        <v>50</v>
      </c>
      <c r="G77" s="5" t="n">
        <v>53.2</v>
      </c>
      <c r="H77" s="6" t="n">
        <v>1.0237</v>
      </c>
      <c r="I77" s="6" t="n">
        <v>0.22</v>
      </c>
      <c r="J77" s="5" t="n">
        <v>11.7</v>
      </c>
      <c r="K77" s="6" t="n">
        <v>0.6643</v>
      </c>
      <c r="L77" s="5" t="n">
        <v>7.42</v>
      </c>
      <c r="M77" s="5" t="n">
        <v>42.76</v>
      </c>
      <c r="N77" s="4" t="str">
        <f aca="false">IF(ABS(G77*I77-J77)&lt;=0.011,"OK","CHECK")</f>
        <v>OK</v>
      </c>
      <c r="O77" s="4" t="str">
        <f aca="false">IF(ABS(ROUND(G77*H77-J77,2)-M77)&lt;=0.011,"OK","CHECK")</f>
        <v>OK</v>
      </c>
      <c r="P77" s="4" t="str">
        <f aca="false">IF(ABS(ROUND(M77*21/121,2)-L77)&lt;=0.011,"OK","CHECK")</f>
        <v>OK</v>
      </c>
      <c r="Q77" s="4" t="str">
        <f aca="false">IF(ABS((M77-L77)/G77-K77)&lt;=0.0006,"OK","CHECK")</f>
        <v>OK</v>
      </c>
    </row>
    <row r="78" customFormat="false" ht="15" hidden="false" customHeight="true" outlineLevel="0" collapsed="false">
      <c r="A78" s="4" t="s">
        <v>44</v>
      </c>
      <c r="B78" s="4" t="s">
        <v>154</v>
      </c>
      <c r="C78" s="4" t="s">
        <v>55</v>
      </c>
      <c r="D78" s="4" t="s">
        <v>156</v>
      </c>
      <c r="E78" s="4" t="s">
        <v>8</v>
      </c>
      <c r="F78" s="4" t="s">
        <v>50</v>
      </c>
      <c r="G78" s="5" t="n">
        <v>24.61</v>
      </c>
      <c r="H78" s="6" t="n">
        <v>1.0237</v>
      </c>
      <c r="I78" s="6" t="n">
        <v>0.22</v>
      </c>
      <c r="J78" s="5" t="n">
        <v>5.41</v>
      </c>
      <c r="K78" s="6" t="n">
        <v>0.6644</v>
      </c>
      <c r="L78" s="5" t="n">
        <v>3.43</v>
      </c>
      <c r="M78" s="5" t="n">
        <v>19.78</v>
      </c>
      <c r="N78" s="4" t="str">
        <f aca="false">IF(ABS(G78*I78-J78)&lt;=0.011,"OK","CHECK")</f>
        <v>OK</v>
      </c>
      <c r="O78" s="4" t="str">
        <f aca="false">IF(ABS(ROUND(G78*H78-J78,2)-M78)&lt;=0.011,"OK","CHECK")</f>
        <v>OK</v>
      </c>
      <c r="P78" s="4" t="str">
        <f aca="false">IF(ABS(ROUND(M78*21/121,2)-L78)&lt;=0.011,"OK","CHECK")</f>
        <v>OK</v>
      </c>
      <c r="Q78" s="4" t="str">
        <f aca="false">IF(ABS((M78-L78)/G78-K78)&lt;=0.0006,"OK","CHECK")</f>
        <v>OK</v>
      </c>
    </row>
    <row r="79" customFormat="false" ht="15" hidden="false" customHeight="true" outlineLevel="0" collapsed="false">
      <c r="A79" s="4" t="s">
        <v>44</v>
      </c>
      <c r="B79" s="4" t="s">
        <v>157</v>
      </c>
      <c r="C79" s="4" t="s">
        <v>55</v>
      </c>
      <c r="D79" s="4" t="s">
        <v>158</v>
      </c>
      <c r="E79" s="4" t="s">
        <v>8</v>
      </c>
      <c r="F79" s="4" t="s">
        <v>50</v>
      </c>
      <c r="G79" s="5" t="n">
        <v>25</v>
      </c>
      <c r="H79" s="6" t="n">
        <v>1.0237</v>
      </c>
      <c r="I79" s="6" t="n">
        <v>0.22</v>
      </c>
      <c r="J79" s="5" t="n">
        <v>5.5</v>
      </c>
      <c r="K79" s="6" t="n">
        <v>0.664</v>
      </c>
      <c r="L79" s="5" t="n">
        <v>3.49</v>
      </c>
      <c r="M79" s="5" t="n">
        <v>20.09</v>
      </c>
      <c r="N79" s="4" t="str">
        <f aca="false">IF(ABS(G79*I79-J79)&lt;=0.011,"OK","CHECK")</f>
        <v>OK</v>
      </c>
      <c r="O79" s="4" t="str">
        <f aca="false">IF(ABS(ROUND(G79*H79-J79,2)-M79)&lt;=0.011,"OK","CHECK")</f>
        <v>OK</v>
      </c>
      <c r="P79" s="4" t="str">
        <f aca="false">IF(ABS(ROUND(M79*21/121,2)-L79)&lt;=0.011,"OK","CHECK")</f>
        <v>OK</v>
      </c>
      <c r="Q79" s="4" t="str">
        <f aca="false">IF(ABS((M79-L79)/G79-K79)&lt;=0.0006,"OK","CHECK")</f>
        <v>OK</v>
      </c>
    </row>
    <row r="80" customFormat="false" ht="15" hidden="false" customHeight="true" outlineLevel="0" collapsed="false">
      <c r="A80" s="4" t="s">
        <v>44</v>
      </c>
      <c r="B80" s="4" t="s">
        <v>159</v>
      </c>
      <c r="C80" s="4" t="s">
        <v>137</v>
      </c>
      <c r="D80" s="4" t="s">
        <v>160</v>
      </c>
      <c r="E80" s="4" t="s">
        <v>8</v>
      </c>
      <c r="F80" s="4" t="s">
        <v>48</v>
      </c>
      <c r="G80" s="5" t="n">
        <v>295</v>
      </c>
      <c r="H80" s="6" t="n">
        <v>2.245</v>
      </c>
      <c r="I80" s="6" t="n">
        <v>0.23</v>
      </c>
      <c r="J80" s="5" t="n">
        <v>67.85</v>
      </c>
      <c r="K80" s="6" t="n">
        <v>1.6653</v>
      </c>
      <c r="L80" s="5" t="n">
        <v>103.17</v>
      </c>
      <c r="M80" s="5" t="n">
        <v>594.43</v>
      </c>
      <c r="N80" s="4" t="str">
        <f aca="false">IF(ABS(G80*I80-J80)&lt;=0.011,"OK","CHECK")</f>
        <v>OK</v>
      </c>
      <c r="O80" s="4" t="str">
        <f aca="false">IF(ABS(ROUND(G80*H80-J80,2)-M80)&lt;=0.011,"OK","CHECK")</f>
        <v>OK</v>
      </c>
      <c r="P80" s="4" t="str">
        <f aca="false">IF(ABS(ROUND(M80*21/121,2)-L80)&lt;=0.011,"OK","CHECK")</f>
        <v>OK</v>
      </c>
      <c r="Q80" s="4" t="str">
        <f aca="false">IF(ABS((M80-L80)/G80-K80)&lt;=0.0006,"OK","CHECK")</f>
        <v>OK</v>
      </c>
    </row>
    <row r="81" customFormat="false" ht="15" hidden="false" customHeight="true" outlineLevel="0" collapsed="false">
      <c r="A81" s="4" t="s">
        <v>44</v>
      </c>
      <c r="B81" s="4" t="s">
        <v>159</v>
      </c>
      <c r="C81" s="4" t="s">
        <v>137</v>
      </c>
      <c r="D81" s="4" t="s">
        <v>161</v>
      </c>
      <c r="E81" s="4" t="s">
        <v>8</v>
      </c>
      <c r="F81" s="4" t="s">
        <v>48</v>
      </c>
      <c r="G81" s="5" t="n">
        <v>485</v>
      </c>
      <c r="H81" s="6" t="n">
        <v>2.245</v>
      </c>
      <c r="I81" s="6" t="n">
        <v>0.23</v>
      </c>
      <c r="J81" s="5" t="n">
        <v>111.55</v>
      </c>
      <c r="K81" s="6" t="n">
        <v>1.6653</v>
      </c>
      <c r="L81" s="5" t="n">
        <v>169.61</v>
      </c>
      <c r="M81" s="5" t="n">
        <v>977.28</v>
      </c>
      <c r="N81" s="4" t="str">
        <f aca="false">IF(ABS(G81*I81-J81)&lt;=0.011,"OK","CHECK")</f>
        <v>OK</v>
      </c>
      <c r="O81" s="4" t="str">
        <f aca="false">IF(ABS(ROUND(G81*H81-J81,2)-M81)&lt;=0.011,"OK","CHECK")</f>
        <v>OK</v>
      </c>
      <c r="P81" s="4" t="str">
        <f aca="false">IF(ABS(ROUND(M81*21/121,2)-L81)&lt;=0.011,"OK","CHECK")</f>
        <v>OK</v>
      </c>
      <c r="Q81" s="4" t="str">
        <f aca="false">IF(ABS((M81-L81)/G81-K81)&lt;=0.0006,"OK","CHECK")</f>
        <v>OK</v>
      </c>
    </row>
    <row r="82" customFormat="false" ht="15" hidden="false" customHeight="true" outlineLevel="0" collapsed="false">
      <c r="A82" s="4" t="s">
        <v>44</v>
      </c>
      <c r="B82" s="4" t="s">
        <v>159</v>
      </c>
      <c r="C82" s="4" t="s">
        <v>137</v>
      </c>
      <c r="D82" s="4" t="s">
        <v>162</v>
      </c>
      <c r="E82" s="4" t="s">
        <v>8</v>
      </c>
      <c r="F82" s="4" t="s">
        <v>50</v>
      </c>
      <c r="G82" s="5" t="n">
        <v>94</v>
      </c>
      <c r="H82" s="6" t="n">
        <v>1.0237</v>
      </c>
      <c r="I82" s="6" t="n">
        <v>0.22</v>
      </c>
      <c r="J82" s="5" t="n">
        <v>20.68</v>
      </c>
      <c r="K82" s="6" t="n">
        <v>0.6643</v>
      </c>
      <c r="L82" s="5" t="n">
        <v>13.11</v>
      </c>
      <c r="M82" s="5" t="n">
        <v>75.55</v>
      </c>
      <c r="N82" s="4" t="str">
        <f aca="false">IF(ABS(G82*I82-J82)&lt;=0.011,"OK","CHECK")</f>
        <v>OK</v>
      </c>
      <c r="O82" s="4" t="str">
        <f aca="false">IF(ABS(ROUND(G82*H82-J82,2)-M82)&lt;=0.011,"OK","CHECK")</f>
        <v>OK</v>
      </c>
      <c r="P82" s="4" t="str">
        <f aca="false">IF(ABS(ROUND(M82*21/121,2)-L82)&lt;=0.011,"OK","CHECK")</f>
        <v>OK</v>
      </c>
      <c r="Q82" s="4" t="str">
        <f aca="false">IF(ABS((M82-L82)/G82-K82)&lt;=0.0006,"OK","CHECK")</f>
        <v>OK</v>
      </c>
    </row>
    <row r="83" customFormat="false" ht="15" hidden="false" customHeight="true" outlineLevel="0" collapsed="false">
      <c r="A83" s="4" t="s">
        <v>44</v>
      </c>
      <c r="B83" s="4" t="s">
        <v>159</v>
      </c>
      <c r="C83" s="4" t="s">
        <v>55</v>
      </c>
      <c r="D83" s="4" t="s">
        <v>163</v>
      </c>
      <c r="E83" s="4" t="s">
        <v>8</v>
      </c>
      <c r="F83" s="4" t="s">
        <v>48</v>
      </c>
      <c r="G83" s="5" t="n">
        <v>500</v>
      </c>
      <c r="H83" s="6" t="n">
        <v>2.137</v>
      </c>
      <c r="I83" s="6" t="n">
        <v>0.23</v>
      </c>
      <c r="J83" s="5" t="n">
        <v>115</v>
      </c>
      <c r="K83" s="6" t="n">
        <v>1.576</v>
      </c>
      <c r="L83" s="5" t="n">
        <v>165.48</v>
      </c>
      <c r="M83" s="5" t="n">
        <v>953.5</v>
      </c>
      <c r="N83" s="4" t="str">
        <f aca="false">IF(ABS(G83*I83-J83)&lt;=0.011,"OK","CHECK")</f>
        <v>OK</v>
      </c>
      <c r="O83" s="4" t="str">
        <f aca="false">IF(ABS(ROUND(G83*H83-J83,2)-M83)&lt;=0.011,"OK","CHECK")</f>
        <v>OK</v>
      </c>
      <c r="P83" s="4" t="str">
        <f aca="false">IF(ABS(ROUND(M83*21/121,2)-L83)&lt;=0.011,"OK","CHECK")</f>
        <v>OK</v>
      </c>
      <c r="Q83" s="4" t="str">
        <f aca="false">IF(ABS((M83-L83)/G83-K83)&lt;=0.0006,"OK","CHECK")</f>
        <v>OK</v>
      </c>
    </row>
    <row r="84" customFormat="false" ht="15" hidden="false" customHeight="true" outlineLevel="0" collapsed="false">
      <c r="A84" s="4" t="s">
        <v>44</v>
      </c>
      <c r="B84" s="4" t="s">
        <v>159</v>
      </c>
      <c r="C84" s="4" t="s">
        <v>55</v>
      </c>
      <c r="D84" s="4" t="s">
        <v>164</v>
      </c>
      <c r="E84" s="4" t="s">
        <v>8</v>
      </c>
      <c r="F84" s="4" t="s">
        <v>50</v>
      </c>
      <c r="G84" s="5" t="n">
        <v>63</v>
      </c>
      <c r="H84" s="6" t="n">
        <v>1.0237</v>
      </c>
      <c r="I84" s="6" t="n">
        <v>0.22</v>
      </c>
      <c r="J84" s="5" t="n">
        <v>13.86</v>
      </c>
      <c r="K84" s="6" t="n">
        <v>0.6641</v>
      </c>
      <c r="L84" s="5" t="n">
        <v>8.79</v>
      </c>
      <c r="M84" s="5" t="n">
        <v>50.63</v>
      </c>
      <c r="N84" s="4" t="str">
        <f aca="false">IF(ABS(G84*I84-J84)&lt;=0.011,"OK","CHECK")</f>
        <v>OK</v>
      </c>
      <c r="O84" s="4" t="str">
        <f aca="false">IF(ABS(ROUND(G84*H84-J84,2)-M84)&lt;=0.011,"OK","CHECK")</f>
        <v>OK</v>
      </c>
      <c r="P84" s="4" t="str">
        <f aca="false">IF(ABS(ROUND(M84*21/121,2)-L84)&lt;=0.011,"OK","CHECK")</f>
        <v>OK</v>
      </c>
      <c r="Q84" s="4" t="str">
        <f aca="false">IF(ABS((M84-L84)/G84-K84)&lt;=0.0006,"OK","CHECK")</f>
        <v>OK</v>
      </c>
    </row>
    <row r="85" customFormat="false" ht="15" hidden="false" customHeight="true" outlineLevel="0" collapsed="false">
      <c r="A85" s="4" t="s">
        <v>44</v>
      </c>
      <c r="B85" s="4" t="s">
        <v>165</v>
      </c>
      <c r="C85" s="4" t="s">
        <v>64</v>
      </c>
      <c r="D85" s="4" t="s">
        <v>166</v>
      </c>
      <c r="E85" s="4" t="s">
        <v>10</v>
      </c>
      <c r="F85" s="4" t="s">
        <v>48</v>
      </c>
      <c r="G85" s="5" t="n">
        <v>379.49</v>
      </c>
      <c r="H85" s="6" t="n">
        <v>2.245</v>
      </c>
      <c r="I85" s="6" t="n">
        <v>0.18</v>
      </c>
      <c r="J85" s="5" t="n">
        <v>68.31</v>
      </c>
      <c r="K85" s="6" t="n">
        <v>1.7066</v>
      </c>
      <c r="L85" s="5" t="n">
        <v>136.01</v>
      </c>
      <c r="M85" s="5" t="n">
        <v>783.65</v>
      </c>
      <c r="N85" s="4" t="str">
        <f aca="false">IF(ABS(G85*I85-J85)&lt;=0.011,"OK","CHECK")</f>
        <v>OK</v>
      </c>
      <c r="O85" s="4" t="str">
        <f aca="false">IF(ABS(ROUND(G85*H85-J85,2)-M85)&lt;=0.011,"OK","CHECK")</f>
        <v>OK</v>
      </c>
      <c r="P85" s="4" t="str">
        <f aca="false">IF(ABS(ROUND(M85*21/121,2)-L85)&lt;=0.011,"OK","CHECK")</f>
        <v>OK</v>
      </c>
      <c r="Q85" s="4" t="str">
        <f aca="false">IF(ABS((M85-L85)/G85-K85)&lt;=0.0006,"OK","CHECK")</f>
        <v>OK</v>
      </c>
    </row>
    <row r="86" customFormat="false" ht="15" hidden="false" customHeight="true" outlineLevel="0" collapsed="false">
      <c r="A86" s="4" t="s">
        <v>44</v>
      </c>
      <c r="B86" s="4" t="s">
        <v>165</v>
      </c>
      <c r="C86" s="4" t="s">
        <v>64</v>
      </c>
      <c r="D86" s="4" t="s">
        <v>167</v>
      </c>
      <c r="E86" s="4" t="s">
        <v>10</v>
      </c>
      <c r="F86" s="4" t="s">
        <v>50</v>
      </c>
      <c r="G86" s="5" t="n">
        <v>41.09</v>
      </c>
      <c r="H86" s="6" t="n">
        <v>0.999</v>
      </c>
      <c r="I86" s="6" t="n">
        <v>0.23</v>
      </c>
      <c r="J86" s="5" t="n">
        <v>9.45</v>
      </c>
      <c r="K86" s="6" t="n">
        <v>0.6357</v>
      </c>
      <c r="L86" s="5" t="n">
        <v>5.48</v>
      </c>
      <c r="M86" s="5" t="n">
        <v>31.6</v>
      </c>
      <c r="N86" s="4" t="str">
        <f aca="false">IF(ABS(G86*I86-J86)&lt;=0.011,"OK","CHECK")</f>
        <v>OK</v>
      </c>
      <c r="O86" s="4" t="str">
        <f aca="false">IF(ABS(ROUND(G86*H86-J86,2)-M86)&lt;=0.011,"OK","CHECK")</f>
        <v>OK</v>
      </c>
      <c r="P86" s="4" t="str">
        <f aca="false">IF(ABS(ROUND(M86*21/121,2)-L86)&lt;=0.011,"OK","CHECK")</f>
        <v>OK</v>
      </c>
      <c r="Q86" s="4" t="str">
        <f aca="false">IF(ABS((M86-L86)/G86-K86)&lt;=0.0006,"OK","CHECK")</f>
        <v>OK</v>
      </c>
    </row>
    <row r="87" customFormat="false" ht="15" hidden="false" customHeight="true" outlineLevel="0" collapsed="false">
      <c r="A87" s="4" t="s">
        <v>44</v>
      </c>
      <c r="B87" s="4" t="s">
        <v>165</v>
      </c>
      <c r="C87" s="4" t="s">
        <v>83</v>
      </c>
      <c r="D87" s="4" t="s">
        <v>168</v>
      </c>
      <c r="E87" s="4" t="s">
        <v>8</v>
      </c>
      <c r="F87" s="4" t="s">
        <v>48</v>
      </c>
      <c r="G87" s="5" t="n">
        <v>650</v>
      </c>
      <c r="H87" s="6" t="n">
        <v>2.137</v>
      </c>
      <c r="I87" s="6" t="n">
        <v>0.23</v>
      </c>
      <c r="J87" s="5" t="n">
        <v>149.5</v>
      </c>
      <c r="K87" s="6" t="n">
        <v>1.576</v>
      </c>
      <c r="L87" s="5" t="n">
        <v>215.13</v>
      </c>
      <c r="M87" s="5" t="n">
        <v>1239.55</v>
      </c>
      <c r="N87" s="4" t="str">
        <f aca="false">IF(ABS(G87*I87-J87)&lt;=0.011,"OK","CHECK")</f>
        <v>OK</v>
      </c>
      <c r="O87" s="4" t="str">
        <f aca="false">IF(ABS(ROUND(G87*H87-J87,2)-M87)&lt;=0.011,"OK","CHECK")</f>
        <v>OK</v>
      </c>
      <c r="P87" s="4" t="str">
        <f aca="false">IF(ABS(ROUND(M87*21/121,2)-L87)&lt;=0.011,"OK","CHECK")</f>
        <v>OK</v>
      </c>
      <c r="Q87" s="4" t="str">
        <f aca="false">IF(ABS((M87-L87)/G87-K87)&lt;=0.0006,"OK","CHECK")</f>
        <v>OK</v>
      </c>
    </row>
    <row r="88" customFormat="false" ht="15" hidden="false" customHeight="true" outlineLevel="0" collapsed="false">
      <c r="A88" s="4" t="s">
        <v>44</v>
      </c>
      <c r="B88" s="4" t="s">
        <v>165</v>
      </c>
      <c r="C88" s="4" t="s">
        <v>83</v>
      </c>
      <c r="D88" s="4" t="s">
        <v>169</v>
      </c>
      <c r="E88" s="4" t="s">
        <v>8</v>
      </c>
      <c r="F88" s="4" t="s">
        <v>50</v>
      </c>
      <c r="G88" s="5" t="n">
        <v>70.89</v>
      </c>
      <c r="H88" s="6" t="n">
        <v>1.0237</v>
      </c>
      <c r="I88" s="6" t="n">
        <v>0.22</v>
      </c>
      <c r="J88" s="5" t="n">
        <v>15.6</v>
      </c>
      <c r="K88" s="6" t="n">
        <v>0.6641</v>
      </c>
      <c r="L88" s="5" t="n">
        <v>9.89</v>
      </c>
      <c r="M88" s="5" t="n">
        <v>56.97</v>
      </c>
      <c r="N88" s="4" t="str">
        <f aca="false">IF(ABS(G88*I88-J88)&lt;=0.011,"OK","CHECK")</f>
        <v>OK</v>
      </c>
      <c r="O88" s="4" t="str">
        <f aca="false">IF(ABS(ROUND(G88*H88-J88,2)-M88)&lt;=0.011,"OK","CHECK")</f>
        <v>OK</v>
      </c>
      <c r="P88" s="4" t="str">
        <f aca="false">IF(ABS(ROUND(M88*21/121,2)-L88)&lt;=0.011,"OK","CHECK")</f>
        <v>OK</v>
      </c>
      <c r="Q88" s="4" t="str">
        <f aca="false">IF(ABS((M88-L88)/G88-K88)&lt;=0.0006,"OK","CHECK")</f>
        <v>OK</v>
      </c>
    </row>
    <row r="89" customFormat="false" ht="15" hidden="false" customHeight="true" outlineLevel="0" collapsed="false">
      <c r="A89" s="4" t="s">
        <v>44</v>
      </c>
      <c r="B89" s="4" t="s">
        <v>170</v>
      </c>
      <c r="C89" s="4" t="s">
        <v>52</v>
      </c>
      <c r="D89" s="4" t="s">
        <v>171</v>
      </c>
      <c r="E89" s="4" t="s">
        <v>8</v>
      </c>
      <c r="F89" s="4" t="s">
        <v>50</v>
      </c>
      <c r="G89" s="5" t="n">
        <v>49</v>
      </c>
      <c r="H89" s="6" t="n">
        <v>1.0237</v>
      </c>
      <c r="I89" s="6" t="n">
        <v>0.22</v>
      </c>
      <c r="J89" s="5" t="n">
        <v>10.78</v>
      </c>
      <c r="K89" s="6" t="n">
        <v>0.6643</v>
      </c>
      <c r="L89" s="5" t="n">
        <v>6.83</v>
      </c>
      <c r="M89" s="5" t="n">
        <v>39.38</v>
      </c>
      <c r="N89" s="4" t="str">
        <f aca="false">IF(ABS(G89*I89-J89)&lt;=0.011,"OK","CHECK")</f>
        <v>OK</v>
      </c>
      <c r="O89" s="4" t="str">
        <f aca="false">IF(ABS(ROUND(G89*H89-J89,2)-M89)&lt;=0.011,"OK","CHECK")</f>
        <v>OK</v>
      </c>
      <c r="P89" s="4" t="str">
        <f aca="false">IF(ABS(ROUND(M89*21/121,2)-L89)&lt;=0.011,"OK","CHECK")</f>
        <v>OK</v>
      </c>
      <c r="Q89" s="4" t="str">
        <f aca="false">IF(ABS((M89-L89)/G89-K89)&lt;=0.0006,"OK","CHECK")</f>
        <v>OK</v>
      </c>
    </row>
    <row r="90" customFormat="false" ht="15" hidden="false" customHeight="true" outlineLevel="0" collapsed="false">
      <c r="A90" s="4" t="s">
        <v>44</v>
      </c>
      <c r="B90" s="4" t="s">
        <v>170</v>
      </c>
      <c r="C90" s="4" t="s">
        <v>52</v>
      </c>
      <c r="D90" s="4" t="s">
        <v>172</v>
      </c>
      <c r="E90" s="4" t="s">
        <v>8</v>
      </c>
      <c r="F90" s="4" t="s">
        <v>48</v>
      </c>
      <c r="G90" s="5" t="n">
        <v>703</v>
      </c>
      <c r="H90" s="6" t="n">
        <v>2.245</v>
      </c>
      <c r="I90" s="6" t="n">
        <v>0.23</v>
      </c>
      <c r="J90" s="5" t="n">
        <v>161.69</v>
      </c>
      <c r="K90" s="6" t="n">
        <v>1.6653</v>
      </c>
      <c r="L90" s="5" t="n">
        <v>245.85</v>
      </c>
      <c r="M90" s="5" t="n">
        <v>1416.55</v>
      </c>
      <c r="N90" s="4" t="str">
        <f aca="false">IF(ABS(G90*I90-J90)&lt;=0.011,"OK","CHECK")</f>
        <v>OK</v>
      </c>
      <c r="O90" s="4" t="str">
        <f aca="false">IF(ABS(ROUND(G90*H90-J90,2)-M90)&lt;=0.011,"OK","CHECK")</f>
        <v>OK</v>
      </c>
      <c r="P90" s="4" t="str">
        <f aca="false">IF(ABS(ROUND(M90*21/121,2)-L90)&lt;=0.011,"OK","CHECK")</f>
        <v>OK</v>
      </c>
      <c r="Q90" s="4" t="str">
        <f aca="false">IF(ABS((M90-L90)/G90-K90)&lt;=0.0006,"OK","CHECK")</f>
        <v>OK</v>
      </c>
    </row>
    <row r="91" customFormat="false" ht="15" hidden="false" customHeight="true" outlineLevel="0" collapsed="false">
      <c r="A91" s="4" t="s">
        <v>44</v>
      </c>
      <c r="B91" s="4" t="s">
        <v>170</v>
      </c>
      <c r="C91" s="4" t="s">
        <v>52</v>
      </c>
      <c r="D91" s="4" t="s">
        <v>173</v>
      </c>
      <c r="E91" s="4" t="s">
        <v>8</v>
      </c>
      <c r="F91" s="4" t="s">
        <v>48</v>
      </c>
      <c r="G91" s="5" t="n">
        <v>70</v>
      </c>
      <c r="H91" s="6" t="n">
        <v>2.245</v>
      </c>
      <c r="I91" s="6" t="n">
        <v>0.23</v>
      </c>
      <c r="J91" s="5" t="n">
        <v>16.1</v>
      </c>
      <c r="K91" s="6" t="n">
        <v>1.6653</v>
      </c>
      <c r="L91" s="5" t="n">
        <v>24.48</v>
      </c>
      <c r="M91" s="5" t="n">
        <v>141.05</v>
      </c>
      <c r="N91" s="4" t="str">
        <f aca="false">IF(ABS(G91*I91-J91)&lt;=0.011,"OK","CHECK")</f>
        <v>OK</v>
      </c>
      <c r="O91" s="4" t="str">
        <f aca="false">IF(ABS(ROUND(G91*H91-J91,2)-M91)&lt;=0.011,"OK","CHECK")</f>
        <v>OK</v>
      </c>
      <c r="P91" s="4" t="str">
        <f aca="false">IF(ABS(ROUND(M91*21/121,2)-L91)&lt;=0.011,"OK","CHECK")</f>
        <v>OK</v>
      </c>
      <c r="Q91" s="4" t="str">
        <f aca="false">IF(ABS((M91-L91)/G91-K91)&lt;=0.0006,"OK","CHECK")</f>
        <v>OK</v>
      </c>
    </row>
    <row r="92" customFormat="false" ht="15" hidden="false" customHeight="true" outlineLevel="0" collapsed="false">
      <c r="A92" s="4" t="s">
        <v>44</v>
      </c>
      <c r="B92" s="4" t="s">
        <v>170</v>
      </c>
      <c r="C92" s="4" t="s">
        <v>79</v>
      </c>
      <c r="D92" s="4" t="s">
        <v>174</v>
      </c>
      <c r="E92" s="4" t="s">
        <v>8</v>
      </c>
      <c r="F92" s="4" t="s">
        <v>50</v>
      </c>
      <c r="G92" s="5" t="n">
        <v>40</v>
      </c>
      <c r="H92" s="6" t="n">
        <v>1.0237</v>
      </c>
      <c r="I92" s="6" t="n">
        <v>0.22</v>
      </c>
      <c r="J92" s="5" t="n">
        <v>8.8</v>
      </c>
      <c r="K92" s="6" t="n">
        <v>0.6643</v>
      </c>
      <c r="L92" s="5" t="n">
        <v>5.58</v>
      </c>
      <c r="M92" s="5" t="n">
        <v>32.15</v>
      </c>
      <c r="N92" s="4" t="str">
        <f aca="false">IF(ABS(G92*I92-J92)&lt;=0.011,"OK","CHECK")</f>
        <v>OK</v>
      </c>
      <c r="O92" s="4" t="str">
        <f aca="false">IF(ABS(ROUND(G92*H92-J92,2)-M92)&lt;=0.011,"OK","CHECK")</f>
        <v>OK</v>
      </c>
      <c r="P92" s="4" t="str">
        <f aca="false">IF(ABS(ROUND(M92*21/121,2)-L92)&lt;=0.011,"OK","CHECK")</f>
        <v>OK</v>
      </c>
      <c r="Q92" s="4" t="str">
        <f aca="false">IF(ABS((M92-L92)/G92-K92)&lt;=0.0006,"OK","CHECK")</f>
        <v>OK</v>
      </c>
    </row>
    <row r="93" customFormat="false" ht="15" hidden="false" customHeight="true" outlineLevel="0" collapsed="false">
      <c r="A93" s="4" t="s">
        <v>44</v>
      </c>
      <c r="B93" s="4" t="s">
        <v>170</v>
      </c>
      <c r="C93" s="4" t="s">
        <v>79</v>
      </c>
      <c r="D93" s="4" t="s">
        <v>175</v>
      </c>
      <c r="E93" s="4" t="s">
        <v>8</v>
      </c>
      <c r="F93" s="4" t="s">
        <v>48</v>
      </c>
      <c r="G93" s="5" t="n">
        <v>723.31</v>
      </c>
      <c r="H93" s="6" t="n">
        <v>2.178</v>
      </c>
      <c r="I93" s="6" t="n">
        <v>0.23</v>
      </c>
      <c r="J93" s="5" t="n">
        <v>166.36</v>
      </c>
      <c r="K93" s="6" t="n">
        <v>1.6099</v>
      </c>
      <c r="L93" s="5" t="n">
        <v>244.54</v>
      </c>
      <c r="M93" s="5" t="n">
        <v>1409.01</v>
      </c>
      <c r="N93" s="4" t="str">
        <f aca="false">IF(ABS(G93*I93-J93)&lt;=0.011,"OK","CHECK")</f>
        <v>OK</v>
      </c>
      <c r="O93" s="4" t="str">
        <f aca="false">IF(ABS(ROUND(G93*H93-J93,2)-M93)&lt;=0.011,"OK","CHECK")</f>
        <v>OK</v>
      </c>
      <c r="P93" s="4" t="str">
        <f aca="false">IF(ABS(ROUND(M93*21/121,2)-L93)&lt;=0.011,"OK","CHECK")</f>
        <v>OK</v>
      </c>
      <c r="Q93" s="4" t="str">
        <f aca="false">IF(ABS((M93-L93)/G93-K93)&lt;=0.0006,"OK","CHECK")</f>
        <v>OK</v>
      </c>
    </row>
    <row r="94" customFormat="false" ht="15" hidden="false" customHeight="true" outlineLevel="0" collapsed="false">
      <c r="A94" s="4" t="s">
        <v>44</v>
      </c>
      <c r="B94" s="4" t="s">
        <v>176</v>
      </c>
      <c r="C94" s="4" t="s">
        <v>83</v>
      </c>
      <c r="D94" s="4" t="s">
        <v>177</v>
      </c>
      <c r="E94" s="4" t="s">
        <v>8</v>
      </c>
      <c r="F94" s="4" t="s">
        <v>48</v>
      </c>
      <c r="G94" s="5" t="n">
        <v>416.13</v>
      </c>
      <c r="H94" s="6" t="n">
        <v>2.137</v>
      </c>
      <c r="I94" s="6" t="n">
        <v>0.23</v>
      </c>
      <c r="J94" s="5" t="n">
        <v>95.71</v>
      </c>
      <c r="K94" s="6" t="n">
        <v>1.576</v>
      </c>
      <c r="L94" s="5" t="n">
        <v>137.73</v>
      </c>
      <c r="M94" s="5" t="n">
        <v>793.56</v>
      </c>
      <c r="N94" s="4" t="str">
        <f aca="false">IF(ABS(G94*I94-J94)&lt;=0.011,"OK","CHECK")</f>
        <v>OK</v>
      </c>
      <c r="O94" s="4" t="str">
        <f aca="false">IF(ABS(ROUND(G94*H94-J94,2)-M94)&lt;=0.011,"OK","CHECK")</f>
        <v>OK</v>
      </c>
      <c r="P94" s="4" t="str">
        <f aca="false">IF(ABS(ROUND(M94*21/121,2)-L94)&lt;=0.011,"OK","CHECK")</f>
        <v>OK</v>
      </c>
      <c r="Q94" s="4" t="str">
        <f aca="false">IF(ABS((M94-L94)/G94-K94)&lt;=0.0006,"OK","CHECK")</f>
        <v>OK</v>
      </c>
    </row>
    <row r="95" customFormat="false" ht="15" hidden="false" customHeight="true" outlineLevel="0" collapsed="false">
      <c r="A95" s="4" t="s">
        <v>44</v>
      </c>
      <c r="B95" s="4" t="s">
        <v>176</v>
      </c>
      <c r="C95" s="4" t="s">
        <v>83</v>
      </c>
      <c r="D95" s="4" t="s">
        <v>178</v>
      </c>
      <c r="E95" s="4" t="s">
        <v>8</v>
      </c>
      <c r="F95" s="4" t="s">
        <v>48</v>
      </c>
      <c r="G95" s="5" t="n">
        <v>193.52</v>
      </c>
      <c r="H95" s="6" t="n">
        <v>2.137</v>
      </c>
      <c r="I95" s="6" t="n">
        <v>0.23</v>
      </c>
      <c r="J95" s="5" t="n">
        <v>44.51</v>
      </c>
      <c r="K95" s="6" t="n">
        <v>1.576</v>
      </c>
      <c r="L95" s="5" t="n">
        <v>64.05</v>
      </c>
      <c r="M95" s="5" t="n">
        <v>369.04</v>
      </c>
      <c r="N95" s="4" t="str">
        <f aca="false">IF(ABS(G95*I95-J95)&lt;=0.011,"OK","CHECK")</f>
        <v>OK</v>
      </c>
      <c r="O95" s="4" t="str">
        <f aca="false">IF(ABS(ROUND(G95*H95-J95,2)-M95)&lt;=0.011,"OK","CHECK")</f>
        <v>OK</v>
      </c>
      <c r="P95" s="4" t="str">
        <f aca="false">IF(ABS(ROUND(M95*21/121,2)-L95)&lt;=0.011,"OK","CHECK")</f>
        <v>OK</v>
      </c>
      <c r="Q95" s="4" t="str">
        <f aca="false">IF(ABS((M95-L95)/G95-K95)&lt;=0.0006,"OK","CHECK")</f>
        <v>OK</v>
      </c>
    </row>
    <row r="96" customFormat="false" ht="15" hidden="false" customHeight="true" outlineLevel="0" collapsed="false">
      <c r="A96" s="4" t="s">
        <v>44</v>
      </c>
      <c r="B96" s="4" t="s">
        <v>176</v>
      </c>
      <c r="C96" s="4" t="s">
        <v>83</v>
      </c>
      <c r="D96" s="4" t="s">
        <v>179</v>
      </c>
      <c r="E96" s="4" t="s">
        <v>8</v>
      </c>
      <c r="F96" s="4" t="s">
        <v>50</v>
      </c>
      <c r="G96" s="5" t="n">
        <v>31.88</v>
      </c>
      <c r="H96" s="6" t="n">
        <v>1.0237</v>
      </c>
      <c r="I96" s="6" t="n">
        <v>0.22</v>
      </c>
      <c r="J96" s="5" t="n">
        <v>7.01</v>
      </c>
      <c r="K96" s="6" t="n">
        <v>0.6644</v>
      </c>
      <c r="L96" s="5" t="n">
        <v>4.45</v>
      </c>
      <c r="M96" s="5" t="n">
        <v>25.63</v>
      </c>
      <c r="N96" s="4" t="str">
        <f aca="false">IF(ABS(G96*I96-J96)&lt;=0.011,"OK","CHECK")</f>
        <v>OK</v>
      </c>
      <c r="O96" s="4" t="str">
        <f aca="false">IF(ABS(ROUND(G96*H96-J96,2)-M96)&lt;=0.011,"OK","CHECK")</f>
        <v>OK</v>
      </c>
      <c r="P96" s="4" t="str">
        <f aca="false">IF(ABS(ROUND(M96*21/121,2)-L96)&lt;=0.011,"OK","CHECK")</f>
        <v>OK</v>
      </c>
      <c r="Q96" s="4" t="str">
        <f aca="false">IF(ABS((M96-L96)/G96-K96)&lt;=0.0006,"OK","CHECK")</f>
        <v>OK</v>
      </c>
    </row>
    <row r="97" customFormat="false" ht="15" hidden="false" customHeight="true" outlineLevel="0" collapsed="false">
      <c r="A97" s="4" t="s">
        <v>44</v>
      </c>
      <c r="B97" s="4" t="s">
        <v>176</v>
      </c>
      <c r="C97" s="4" t="s">
        <v>61</v>
      </c>
      <c r="D97" s="4" t="s">
        <v>180</v>
      </c>
      <c r="E97" s="4" t="s">
        <v>8</v>
      </c>
      <c r="F97" s="4" t="s">
        <v>48</v>
      </c>
      <c r="G97" s="5" t="n">
        <v>229.21</v>
      </c>
      <c r="H97" s="6" t="n">
        <v>2.137</v>
      </c>
      <c r="I97" s="6" t="n">
        <v>0.23</v>
      </c>
      <c r="J97" s="5" t="n">
        <v>52.72</v>
      </c>
      <c r="K97" s="6" t="n">
        <v>1.576</v>
      </c>
      <c r="L97" s="5" t="n">
        <v>75.86</v>
      </c>
      <c r="M97" s="5" t="n">
        <v>437.1</v>
      </c>
      <c r="N97" s="4" t="str">
        <f aca="false">IF(ABS(G97*I97-J97)&lt;=0.011,"OK","CHECK")</f>
        <v>OK</v>
      </c>
      <c r="O97" s="4" t="str">
        <f aca="false">IF(ABS(ROUND(G97*H97-J97,2)-M97)&lt;=0.011,"OK","CHECK")</f>
        <v>OK</v>
      </c>
      <c r="P97" s="4" t="str">
        <f aca="false">IF(ABS(ROUND(M97*21/121,2)-L97)&lt;=0.011,"OK","CHECK")</f>
        <v>OK</v>
      </c>
      <c r="Q97" s="4" t="str">
        <f aca="false">IF(ABS((M97-L97)/G97-K97)&lt;=0.0006,"OK","CHECK")</f>
        <v>OK</v>
      </c>
    </row>
    <row r="98" customFormat="false" ht="15" hidden="false" customHeight="true" outlineLevel="0" collapsed="false">
      <c r="A98" s="4" t="s">
        <v>44</v>
      </c>
      <c r="B98" s="4" t="s">
        <v>181</v>
      </c>
      <c r="C98" s="4" t="s">
        <v>67</v>
      </c>
      <c r="D98" s="4" t="s">
        <v>182</v>
      </c>
      <c r="E98" s="4" t="s">
        <v>8</v>
      </c>
      <c r="F98" s="4" t="s">
        <v>48</v>
      </c>
      <c r="G98" s="5" t="n">
        <v>550.02</v>
      </c>
      <c r="H98" s="6" t="n">
        <v>2.137</v>
      </c>
      <c r="I98" s="6" t="n">
        <v>0.23</v>
      </c>
      <c r="J98" s="5" t="n">
        <v>126.5</v>
      </c>
      <c r="K98" s="6" t="n">
        <v>1.576</v>
      </c>
      <c r="L98" s="5" t="n">
        <v>182.04</v>
      </c>
      <c r="M98" s="5" t="n">
        <v>1048.89</v>
      </c>
      <c r="N98" s="4" t="str">
        <f aca="false">IF(ABS(G98*I98-J98)&lt;=0.011,"OK","CHECK")</f>
        <v>OK</v>
      </c>
      <c r="O98" s="4" t="str">
        <f aca="false">IF(ABS(ROUND(G98*H98-J98,2)-M98)&lt;=0.011,"OK","CHECK")</f>
        <v>OK</v>
      </c>
      <c r="P98" s="4" t="str">
        <f aca="false">IF(ABS(ROUND(M98*21/121,2)-L98)&lt;=0.011,"OK","CHECK")</f>
        <v>OK</v>
      </c>
      <c r="Q98" s="4" t="str">
        <f aca="false">IF(ABS((M98-L98)/G98-K98)&lt;=0.0006,"OK","CHECK")</f>
        <v>OK</v>
      </c>
    </row>
    <row r="99" customFormat="false" ht="15" hidden="false" customHeight="true" outlineLevel="0" collapsed="false">
      <c r="A99" s="4" t="s">
        <v>44</v>
      </c>
      <c r="B99" s="4" t="s">
        <v>181</v>
      </c>
      <c r="C99" s="4" t="s">
        <v>67</v>
      </c>
      <c r="D99" s="4" t="s">
        <v>183</v>
      </c>
      <c r="E99" s="4" t="s">
        <v>8</v>
      </c>
      <c r="F99" s="4" t="s">
        <v>50</v>
      </c>
      <c r="G99" s="5" t="n">
        <v>28.51</v>
      </c>
      <c r="H99" s="6" t="n">
        <v>1.0237</v>
      </c>
      <c r="I99" s="6" t="n">
        <v>0.22</v>
      </c>
      <c r="J99" s="5" t="n">
        <v>6.27</v>
      </c>
      <c r="K99" s="6" t="n">
        <v>0.6643</v>
      </c>
      <c r="L99" s="5" t="n">
        <v>3.98</v>
      </c>
      <c r="M99" s="5" t="n">
        <v>22.92</v>
      </c>
      <c r="N99" s="4" t="str">
        <f aca="false">IF(ABS(G99*I99-J99)&lt;=0.011,"OK","CHECK")</f>
        <v>OK</v>
      </c>
      <c r="O99" s="4" t="str">
        <f aca="false">IF(ABS(ROUND(G99*H99-J99,2)-M99)&lt;=0.011,"OK","CHECK")</f>
        <v>OK</v>
      </c>
      <c r="P99" s="4" t="str">
        <f aca="false">IF(ABS(ROUND(M99*21/121,2)-L99)&lt;=0.011,"OK","CHECK")</f>
        <v>OK</v>
      </c>
      <c r="Q99" s="4" t="str">
        <f aca="false">IF(ABS((M99-L99)/G99-K99)&lt;=0.0006,"OK","CHECK")</f>
        <v>OK</v>
      </c>
    </row>
    <row r="100" customFormat="false" ht="15" hidden="false" customHeight="true" outlineLevel="0" collapsed="false">
      <c r="A100" s="4" t="s">
        <v>44</v>
      </c>
      <c r="B100" s="4" t="s">
        <v>184</v>
      </c>
      <c r="C100" s="4" t="s">
        <v>64</v>
      </c>
      <c r="D100" s="4" t="s">
        <v>185</v>
      </c>
      <c r="E100" s="4" t="s">
        <v>15</v>
      </c>
      <c r="F100" s="4" t="s">
        <v>50</v>
      </c>
      <c r="G100" s="5" t="n">
        <v>44.98</v>
      </c>
      <c r="H100" s="6" t="n">
        <v>1.23</v>
      </c>
      <c r="I100" s="6" t="n">
        <v>0</v>
      </c>
      <c r="J100" s="5" t="n">
        <v>0</v>
      </c>
      <c r="K100" s="6" t="n">
        <v>1.0167</v>
      </c>
      <c r="L100" s="5" t="n">
        <v>9.6</v>
      </c>
      <c r="M100" s="5" t="n">
        <v>55.33</v>
      </c>
      <c r="N100" s="4" t="str">
        <f aca="false">IF(ABS(G100*I100-J100)&lt;=0.011,"OK","CHECK")</f>
        <v>OK</v>
      </c>
      <c r="O100" s="4" t="str">
        <f aca="false">IF(ABS(ROUND(G100*H100-J100,2)-M100)&lt;=0.011,"OK","CHECK")</f>
        <v>OK</v>
      </c>
      <c r="P100" s="4" t="str">
        <f aca="false">IF(ABS(ROUND(M100*21/121,2)-L100)&lt;=0.011,"OK","CHECK")</f>
        <v>OK</v>
      </c>
      <c r="Q100" s="4" t="str">
        <f aca="false">IF(ABS((M100-L100)/G100-K100)&lt;=0.0006,"OK","CHECK")</f>
        <v>OK</v>
      </c>
    </row>
    <row r="101" customFormat="false" ht="15" hidden="false" customHeight="true" outlineLevel="0" collapsed="false">
      <c r="A101" s="4" t="s">
        <v>44</v>
      </c>
      <c r="B101" s="4" t="s">
        <v>184</v>
      </c>
      <c r="C101" s="4" t="s">
        <v>52</v>
      </c>
      <c r="D101" s="4" t="s">
        <v>186</v>
      </c>
      <c r="E101" s="4" t="s">
        <v>8</v>
      </c>
      <c r="F101" s="4" t="s">
        <v>50</v>
      </c>
      <c r="G101" s="5" t="n">
        <v>15.81</v>
      </c>
      <c r="H101" s="6" t="n">
        <v>1.0237</v>
      </c>
      <c r="I101" s="6" t="n">
        <v>0.22</v>
      </c>
      <c r="J101" s="5" t="n">
        <v>3.48</v>
      </c>
      <c r="K101" s="6" t="n">
        <v>0.6641</v>
      </c>
      <c r="L101" s="5" t="n">
        <v>2.2</v>
      </c>
      <c r="M101" s="5" t="n">
        <v>12.7</v>
      </c>
      <c r="N101" s="4" t="str">
        <f aca="false">IF(ABS(G101*I101-J101)&lt;=0.011,"OK","CHECK")</f>
        <v>OK</v>
      </c>
      <c r="O101" s="4" t="str">
        <f aca="false">IF(ABS(ROUND(G101*H101-J101,2)-M101)&lt;=0.011,"OK","CHECK")</f>
        <v>OK</v>
      </c>
      <c r="P101" s="4" t="str">
        <f aca="false">IF(ABS(ROUND(M101*21/121,2)-L101)&lt;=0.011,"OK","CHECK")</f>
        <v>OK</v>
      </c>
      <c r="Q101" s="4" t="str">
        <f aca="false">IF(ABS((M101-L101)/G101-K101)&lt;=0.0006,"OK","CHECK")</f>
        <v>OK</v>
      </c>
    </row>
    <row r="102" customFormat="false" ht="15" hidden="false" customHeight="true" outlineLevel="0" collapsed="false">
      <c r="A102" s="4" t="s">
        <v>44</v>
      </c>
      <c r="B102" s="4" t="s">
        <v>184</v>
      </c>
      <c r="C102" s="4" t="s">
        <v>114</v>
      </c>
      <c r="D102" s="4" t="s">
        <v>187</v>
      </c>
      <c r="E102" s="4" t="s">
        <v>188</v>
      </c>
      <c r="F102" s="4" t="s">
        <v>50</v>
      </c>
      <c r="G102" s="5" t="n">
        <v>34.79</v>
      </c>
      <c r="H102" s="6" t="n">
        <v>1.183</v>
      </c>
      <c r="I102" s="6" t="n">
        <v>0</v>
      </c>
      <c r="J102" s="5" t="n">
        <v>0</v>
      </c>
      <c r="K102" s="6" t="n">
        <v>0.9779</v>
      </c>
      <c r="L102" s="5" t="n">
        <v>7.14</v>
      </c>
      <c r="M102" s="5" t="n">
        <v>41.16</v>
      </c>
      <c r="N102" s="4" t="str">
        <f aca="false">IF(ABS(G102*I102-J102)&lt;=0.011,"OK","CHECK")</f>
        <v>OK</v>
      </c>
      <c r="O102" s="4" t="str">
        <f aca="false">IF(ABS(ROUND(G102*H102-J102,2)-M102)&lt;=0.011,"OK","CHECK")</f>
        <v>OK</v>
      </c>
      <c r="P102" s="4" t="str">
        <f aca="false">IF(ABS(ROUND(M102*21/121,2)-L102)&lt;=0.011,"OK","CHECK")</f>
        <v>OK</v>
      </c>
      <c r="Q102" s="4" t="str">
        <f aca="false">IF(ABS((M102-L102)/G102-K102)&lt;=0.0006,"OK","CHECK")</f>
        <v>OK</v>
      </c>
    </row>
    <row r="103" customFormat="false" ht="15" hidden="false" customHeight="true" outlineLevel="0" collapsed="false">
      <c r="A103" s="4" t="s">
        <v>189</v>
      </c>
      <c r="B103" s="4" t="s">
        <v>45</v>
      </c>
      <c r="C103" s="4" t="s">
        <v>190</v>
      </c>
      <c r="D103" s="4" t="s">
        <v>191</v>
      </c>
      <c r="E103" s="4" t="s">
        <v>8</v>
      </c>
      <c r="F103" s="4" t="s">
        <v>48</v>
      </c>
      <c r="G103" s="5" t="n">
        <v>397.55</v>
      </c>
      <c r="H103" s="6" t="n">
        <v>2.116</v>
      </c>
      <c r="I103" s="6" t="n">
        <v>0.23</v>
      </c>
      <c r="J103" s="5" t="n">
        <v>91.44</v>
      </c>
      <c r="K103" s="6" t="n">
        <v>1.5587</v>
      </c>
      <c r="L103" s="5" t="n">
        <v>130.13</v>
      </c>
      <c r="M103" s="5" t="n">
        <v>749.78</v>
      </c>
      <c r="N103" s="4" t="str">
        <f aca="false">IF(ABS(G103*I103-J103)&lt;=0.011,"OK","CHECK")</f>
        <v>OK</v>
      </c>
      <c r="O103" s="4" t="str">
        <f aca="false">IF(ABS(ROUND(G103*H103-J103,2)-M103)&lt;=0.011,"OK","CHECK")</f>
        <v>OK</v>
      </c>
      <c r="P103" s="4" t="str">
        <f aca="false">IF(ABS(ROUND(M103*21/121,2)-L103)&lt;=0.011,"OK","CHECK")</f>
        <v>OK</v>
      </c>
      <c r="Q103" s="4" t="str">
        <f aca="false">IF(ABS((M103-L103)/G103-K103)&lt;=0.0006,"OK","CHECK")</f>
        <v>OK</v>
      </c>
    </row>
    <row r="104" customFormat="false" ht="15" hidden="false" customHeight="true" outlineLevel="0" collapsed="false">
      <c r="A104" s="4" t="s">
        <v>189</v>
      </c>
      <c r="B104" s="4" t="s">
        <v>45</v>
      </c>
      <c r="C104" s="4" t="s">
        <v>190</v>
      </c>
      <c r="D104" s="4" t="s">
        <v>192</v>
      </c>
      <c r="E104" s="4" t="s">
        <v>8</v>
      </c>
      <c r="F104" s="4" t="s">
        <v>48</v>
      </c>
      <c r="G104" s="5" t="n">
        <v>229.42</v>
      </c>
      <c r="H104" s="6" t="n">
        <v>2.116</v>
      </c>
      <c r="I104" s="6" t="n">
        <v>0.23</v>
      </c>
      <c r="J104" s="5" t="n">
        <v>52.77</v>
      </c>
      <c r="K104" s="6" t="n">
        <v>1.5587</v>
      </c>
      <c r="L104" s="5" t="n">
        <v>75.09</v>
      </c>
      <c r="M104" s="5" t="n">
        <v>432.68</v>
      </c>
      <c r="N104" s="4" t="str">
        <f aca="false">IF(ABS(G104*I104-J104)&lt;=0.011,"OK","CHECK")</f>
        <v>OK</v>
      </c>
      <c r="O104" s="4" t="str">
        <f aca="false">IF(ABS(ROUND(G104*H104-J104,2)-M104)&lt;=0.011,"OK","CHECK")</f>
        <v>OK</v>
      </c>
      <c r="P104" s="4" t="str">
        <f aca="false">IF(ABS(ROUND(M104*21/121,2)-L104)&lt;=0.011,"OK","CHECK")</f>
        <v>OK</v>
      </c>
      <c r="Q104" s="4" t="str">
        <f aca="false">IF(ABS((M104-L104)/G104-K104)&lt;=0.0006,"OK","CHECK")</f>
        <v>OK</v>
      </c>
    </row>
    <row r="105" customFormat="false" ht="15" hidden="false" customHeight="true" outlineLevel="0" collapsed="false">
      <c r="A105" s="4" t="s">
        <v>189</v>
      </c>
      <c r="B105" s="4" t="s">
        <v>45</v>
      </c>
      <c r="C105" s="4" t="s">
        <v>190</v>
      </c>
      <c r="D105" s="4" t="s">
        <v>193</v>
      </c>
      <c r="E105" s="4" t="s">
        <v>8</v>
      </c>
      <c r="F105" s="4" t="s">
        <v>50</v>
      </c>
      <c r="G105" s="5" t="n">
        <v>49.95</v>
      </c>
      <c r="H105" s="6" t="n">
        <v>1.0237</v>
      </c>
      <c r="I105" s="6" t="n">
        <v>0.22</v>
      </c>
      <c r="J105" s="5" t="n">
        <v>10.99</v>
      </c>
      <c r="K105" s="6" t="n">
        <v>0.6641</v>
      </c>
      <c r="L105" s="5" t="n">
        <v>6.97</v>
      </c>
      <c r="M105" s="5" t="n">
        <v>40.14</v>
      </c>
      <c r="N105" s="4" t="str">
        <f aca="false">IF(ABS(G105*I105-J105)&lt;=0.011,"OK","CHECK")</f>
        <v>OK</v>
      </c>
      <c r="O105" s="4" t="str">
        <f aca="false">IF(ABS(ROUND(G105*H105-J105,2)-M105)&lt;=0.011,"OK","CHECK")</f>
        <v>OK</v>
      </c>
      <c r="P105" s="4" t="str">
        <f aca="false">IF(ABS(ROUND(M105*21/121,2)-L105)&lt;=0.011,"OK","CHECK")</f>
        <v>OK</v>
      </c>
      <c r="Q105" s="4" t="str">
        <f aca="false">IF(ABS((M105-L105)/G105-K105)&lt;=0.0006,"OK","CHECK")</f>
        <v>OK</v>
      </c>
    </row>
    <row r="106" customFormat="false" ht="15" hidden="false" customHeight="true" outlineLevel="0" collapsed="false">
      <c r="A106" s="4" t="s">
        <v>189</v>
      </c>
      <c r="B106" s="4" t="s">
        <v>45</v>
      </c>
      <c r="C106" s="4" t="s">
        <v>194</v>
      </c>
      <c r="D106" s="4" t="s">
        <v>195</v>
      </c>
      <c r="E106" s="4" t="s">
        <v>10</v>
      </c>
      <c r="F106" s="4" t="s">
        <v>48</v>
      </c>
      <c r="G106" s="5" t="n">
        <v>327.63</v>
      </c>
      <c r="H106" s="6" t="n">
        <v>2.141</v>
      </c>
      <c r="I106" s="6" t="n">
        <v>0.18</v>
      </c>
      <c r="J106" s="5" t="n">
        <v>58.97</v>
      </c>
      <c r="K106" s="6" t="n">
        <v>1.6207</v>
      </c>
      <c r="L106" s="5" t="n">
        <v>111.51</v>
      </c>
      <c r="M106" s="5" t="n">
        <v>642.49</v>
      </c>
      <c r="N106" s="4" t="str">
        <f aca="false">IF(ABS(G106*I106-J106)&lt;=0.011,"OK","CHECK")</f>
        <v>OK</v>
      </c>
      <c r="O106" s="4" t="str">
        <f aca="false">IF(ABS(ROUND(G106*H106-J106,2)-M106)&lt;=0.011,"OK","CHECK")</f>
        <v>OK</v>
      </c>
      <c r="P106" s="4" t="str">
        <f aca="false">IF(ABS(ROUND(M106*21/121,2)-L106)&lt;=0.011,"OK","CHECK")</f>
        <v>OK</v>
      </c>
      <c r="Q106" s="4" t="str">
        <f aca="false">IF(ABS((M106-L106)/G106-K106)&lt;=0.0006,"OK","CHECK")</f>
        <v>OK</v>
      </c>
    </row>
    <row r="107" customFormat="false" ht="15" hidden="false" customHeight="true" outlineLevel="0" collapsed="false">
      <c r="A107" s="4" t="s">
        <v>189</v>
      </c>
      <c r="B107" s="4" t="s">
        <v>45</v>
      </c>
      <c r="C107" s="4" t="s">
        <v>194</v>
      </c>
      <c r="D107" s="4" t="s">
        <v>196</v>
      </c>
      <c r="E107" s="4" t="s">
        <v>10</v>
      </c>
      <c r="F107" s="4" t="s">
        <v>48</v>
      </c>
      <c r="G107" s="5" t="n">
        <v>165.17</v>
      </c>
      <c r="H107" s="6" t="n">
        <v>2.141</v>
      </c>
      <c r="I107" s="6" t="n">
        <v>0.18</v>
      </c>
      <c r="J107" s="5" t="n">
        <v>29.73</v>
      </c>
      <c r="K107" s="6" t="n">
        <v>1.6207</v>
      </c>
      <c r="L107" s="5" t="n">
        <v>56.21</v>
      </c>
      <c r="M107" s="5" t="n">
        <v>323.9</v>
      </c>
      <c r="N107" s="4" t="str">
        <f aca="false">IF(ABS(G107*I107-J107)&lt;=0.011,"OK","CHECK")</f>
        <v>OK</v>
      </c>
      <c r="O107" s="4" t="str">
        <f aca="false">IF(ABS(ROUND(G107*H107-J107,2)-M107)&lt;=0.011,"OK","CHECK")</f>
        <v>OK</v>
      </c>
      <c r="P107" s="4" t="str">
        <f aca="false">IF(ABS(ROUND(M107*21/121,2)-L107)&lt;=0.011,"OK","CHECK")</f>
        <v>OK</v>
      </c>
      <c r="Q107" s="4" t="str">
        <f aca="false">IF(ABS((M107-L107)/G107-K107)&lt;=0.0006,"OK","CHECK")</f>
        <v>OK</v>
      </c>
    </row>
    <row r="108" customFormat="false" ht="15" hidden="false" customHeight="true" outlineLevel="0" collapsed="false">
      <c r="A108" s="4" t="s">
        <v>189</v>
      </c>
      <c r="B108" s="4" t="s">
        <v>45</v>
      </c>
      <c r="C108" s="4" t="s">
        <v>197</v>
      </c>
      <c r="D108" s="4" t="s">
        <v>133</v>
      </c>
      <c r="E108" s="4" t="s">
        <v>12</v>
      </c>
      <c r="F108" s="4" t="s">
        <v>48</v>
      </c>
      <c r="G108" s="5" t="n">
        <v>508.49</v>
      </c>
      <c r="H108" s="6" t="n">
        <v>2.038</v>
      </c>
      <c r="I108" s="6" t="n">
        <v>0.23</v>
      </c>
      <c r="J108" s="5" t="n">
        <v>116.95</v>
      </c>
      <c r="K108" s="6" t="n">
        <v>1.4942</v>
      </c>
      <c r="L108" s="5" t="n">
        <v>159.56</v>
      </c>
      <c r="M108" s="5" t="n">
        <v>919.35</v>
      </c>
      <c r="N108" s="4" t="str">
        <f aca="false">IF(ABS(G108*I108-J108)&lt;=0.011,"OK","CHECK")</f>
        <v>OK</v>
      </c>
      <c r="O108" s="4" t="str">
        <f aca="false">IF(ABS(ROUND(G108*H108-J108,2)-M108)&lt;=0.011,"OK","CHECK")</f>
        <v>OK</v>
      </c>
      <c r="P108" s="4" t="str">
        <f aca="false">IF(ABS(ROUND(M108*21/121,2)-L108)&lt;=0.011,"OK","CHECK")</f>
        <v>OK</v>
      </c>
      <c r="Q108" s="4" t="str">
        <f aca="false">IF(ABS((M108-L108)/G108-K108)&lt;=0.0006,"OK","CHECK")</f>
        <v>OK</v>
      </c>
    </row>
    <row r="109" customFormat="false" ht="15" hidden="false" customHeight="true" outlineLevel="0" collapsed="false">
      <c r="A109" s="4" t="s">
        <v>189</v>
      </c>
      <c r="B109" s="4" t="s">
        <v>45</v>
      </c>
      <c r="C109" s="4" t="s">
        <v>197</v>
      </c>
      <c r="D109" s="4" t="s">
        <v>198</v>
      </c>
      <c r="E109" s="4" t="s">
        <v>12</v>
      </c>
      <c r="F109" s="4" t="s">
        <v>48</v>
      </c>
      <c r="G109" s="5" t="n">
        <v>267.7</v>
      </c>
      <c r="H109" s="6" t="n">
        <v>2.038</v>
      </c>
      <c r="I109" s="6" t="n">
        <v>0.23</v>
      </c>
      <c r="J109" s="5" t="n">
        <v>61.57</v>
      </c>
      <c r="K109" s="6" t="n">
        <v>1.4942</v>
      </c>
      <c r="L109" s="5" t="n">
        <v>84</v>
      </c>
      <c r="M109" s="5" t="n">
        <v>484</v>
      </c>
      <c r="N109" s="4" t="str">
        <f aca="false">IF(ABS(G109*I109-J109)&lt;=0.011,"OK","CHECK")</f>
        <v>OK</v>
      </c>
      <c r="O109" s="4" t="str">
        <f aca="false">IF(ABS(ROUND(G109*H109-J109,2)-M109)&lt;=0.011,"OK","CHECK")</f>
        <v>OK</v>
      </c>
      <c r="P109" s="4" t="str">
        <f aca="false">IF(ABS(ROUND(M109*21/121,2)-L109)&lt;=0.011,"OK","CHECK")</f>
        <v>OK</v>
      </c>
      <c r="Q109" s="4" t="str">
        <f aca="false">IF(ABS((M109-L109)/G109-K109)&lt;=0.0006,"OK","CHECK")</f>
        <v>OK</v>
      </c>
    </row>
    <row r="110" customFormat="false" ht="15" hidden="false" customHeight="true" outlineLevel="0" collapsed="false">
      <c r="A110" s="4" t="s">
        <v>189</v>
      </c>
      <c r="B110" s="4" t="s">
        <v>45</v>
      </c>
      <c r="C110" s="4" t="s">
        <v>197</v>
      </c>
      <c r="D110" s="4" t="s">
        <v>185</v>
      </c>
      <c r="E110" s="4" t="s">
        <v>12</v>
      </c>
      <c r="F110" s="4" t="s">
        <v>50</v>
      </c>
      <c r="G110" s="5" t="n">
        <v>49.39</v>
      </c>
      <c r="H110" s="6" t="n">
        <v>1.4738</v>
      </c>
      <c r="I110" s="6" t="n">
        <v>0.6</v>
      </c>
      <c r="J110" s="5" t="n">
        <v>29.63</v>
      </c>
      <c r="K110" s="6" t="n">
        <v>0.7222</v>
      </c>
      <c r="L110" s="5" t="n">
        <v>7.49</v>
      </c>
      <c r="M110" s="5" t="n">
        <v>43.16</v>
      </c>
      <c r="N110" s="4" t="str">
        <f aca="false">IF(ABS(G110*I110-J110)&lt;=0.011,"OK","CHECK")</f>
        <v>OK</v>
      </c>
      <c r="O110" s="4" t="str">
        <f aca="false">IF(ABS(ROUND(G110*H110-J110,2)-M110)&lt;=0.011,"OK","CHECK")</f>
        <v>OK</v>
      </c>
      <c r="P110" s="4" t="str">
        <f aca="false">IF(ABS(ROUND(M110*21/121,2)-L110)&lt;=0.011,"OK","CHECK")</f>
        <v>OK</v>
      </c>
      <c r="Q110" s="4" t="str">
        <f aca="false">IF(ABS((M110-L110)/G110-K110)&lt;=0.0006,"OK","CHECK")</f>
        <v>OK</v>
      </c>
    </row>
    <row r="111" customFormat="false" ht="15" hidden="false" customHeight="true" outlineLevel="0" collapsed="false">
      <c r="A111" s="4" t="s">
        <v>189</v>
      </c>
      <c r="B111" s="4" t="s">
        <v>199</v>
      </c>
      <c r="C111" s="4" t="s">
        <v>200</v>
      </c>
      <c r="D111" s="4" t="s">
        <v>201</v>
      </c>
      <c r="E111" s="4" t="s">
        <v>13</v>
      </c>
      <c r="F111" s="4" t="s">
        <v>48</v>
      </c>
      <c r="G111" s="5" t="n">
        <v>40</v>
      </c>
      <c r="H111" s="6" t="n">
        <v>2.116</v>
      </c>
      <c r="I111" s="6" t="n">
        <v>0.105</v>
      </c>
      <c r="J111" s="5" t="n">
        <v>4.2</v>
      </c>
      <c r="K111" s="6" t="n">
        <v>1.662</v>
      </c>
      <c r="L111" s="5" t="n">
        <v>13.96</v>
      </c>
      <c r="M111" s="5" t="n">
        <v>80.44</v>
      </c>
      <c r="N111" s="4" t="str">
        <f aca="false">IF(ABS(G111*I111-J111)&lt;=0.011,"OK","CHECK")</f>
        <v>OK</v>
      </c>
      <c r="O111" s="4" t="str">
        <f aca="false">IF(ABS(ROUND(G111*H111-J111,2)-M111)&lt;=0.011,"OK","CHECK")</f>
        <v>OK</v>
      </c>
      <c r="P111" s="4" t="str">
        <f aca="false">IF(ABS(ROUND(M111*21/121,2)-L111)&lt;=0.011,"OK","CHECK")</f>
        <v>OK</v>
      </c>
      <c r="Q111" s="4" t="str">
        <f aca="false">IF(ABS((M111-L111)/G111-K111)&lt;=0.0006,"OK","CHECK")</f>
        <v>OK</v>
      </c>
    </row>
    <row r="112" customFormat="false" ht="15" hidden="false" customHeight="true" outlineLevel="0" collapsed="false">
      <c r="A112" s="4" t="s">
        <v>189</v>
      </c>
      <c r="B112" s="4" t="s">
        <v>202</v>
      </c>
      <c r="C112" s="4" t="s">
        <v>203</v>
      </c>
      <c r="D112" s="4" t="s">
        <v>204</v>
      </c>
      <c r="E112" s="4" t="s">
        <v>13</v>
      </c>
      <c r="F112" s="4" t="s">
        <v>48</v>
      </c>
      <c r="G112" s="5" t="n">
        <v>304.07</v>
      </c>
      <c r="H112" s="6" t="n">
        <v>2.141</v>
      </c>
      <c r="I112" s="6" t="n">
        <v>0.105</v>
      </c>
      <c r="J112" s="5" t="n">
        <v>31.93</v>
      </c>
      <c r="K112" s="6" t="n">
        <v>1.6826</v>
      </c>
      <c r="L112" s="5" t="n">
        <v>107.44</v>
      </c>
      <c r="M112" s="5" t="n">
        <v>619.08</v>
      </c>
      <c r="N112" s="4" t="str">
        <f aca="false">IF(ABS(G112*I112-J112)&lt;=0.011,"OK","CHECK")</f>
        <v>OK</v>
      </c>
      <c r="O112" s="4" t="str">
        <f aca="false">IF(ABS(ROUND(G112*H112-J112,2)-M112)&lt;=0.011,"OK","CHECK")</f>
        <v>OK</v>
      </c>
      <c r="P112" s="4" t="str">
        <f aca="false">IF(ABS(ROUND(M112*21/121,2)-L112)&lt;=0.011,"OK","CHECK")</f>
        <v>OK</v>
      </c>
      <c r="Q112" s="4" t="str">
        <f aca="false">IF(ABS((M112-L112)/G112-K112)&lt;=0.0006,"OK","CHECK")</f>
        <v>OK</v>
      </c>
    </row>
    <row r="113" customFormat="false" ht="15" hidden="false" customHeight="true" outlineLevel="0" collapsed="false">
      <c r="A113" s="4" t="s">
        <v>189</v>
      </c>
      <c r="B113" s="4" t="s">
        <v>202</v>
      </c>
      <c r="C113" s="4" t="s">
        <v>203</v>
      </c>
      <c r="D113" s="4" t="s">
        <v>205</v>
      </c>
      <c r="E113" s="4" t="s">
        <v>13</v>
      </c>
      <c r="F113" s="4" t="s">
        <v>50</v>
      </c>
      <c r="G113" s="5" t="n">
        <v>13.95</v>
      </c>
      <c r="H113" s="6" t="n">
        <v>1.0237</v>
      </c>
      <c r="I113" s="6" t="n">
        <v>0.22</v>
      </c>
      <c r="J113" s="5" t="n">
        <v>3.07</v>
      </c>
      <c r="K113" s="6" t="n">
        <v>0.6638</v>
      </c>
      <c r="L113" s="5" t="n">
        <v>1.95</v>
      </c>
      <c r="M113" s="5" t="n">
        <v>11.21</v>
      </c>
      <c r="N113" s="4" t="str">
        <f aca="false">IF(ABS(G113*I113-J113)&lt;=0.011,"OK","CHECK")</f>
        <v>OK</v>
      </c>
      <c r="O113" s="4" t="str">
        <f aca="false">IF(ABS(ROUND(G113*H113-J113,2)-M113)&lt;=0.011,"OK","CHECK")</f>
        <v>OK</v>
      </c>
      <c r="P113" s="4" t="str">
        <f aca="false">IF(ABS(ROUND(M113*21/121,2)-L113)&lt;=0.011,"OK","CHECK")</f>
        <v>OK</v>
      </c>
      <c r="Q113" s="4" t="str">
        <f aca="false">IF(ABS((M113-L113)/G113-K113)&lt;=0.0006,"OK","CHECK")</f>
        <v>OK</v>
      </c>
    </row>
    <row r="114" customFormat="false" ht="15" hidden="false" customHeight="true" outlineLevel="0" collapsed="false">
      <c r="A114" s="4" t="s">
        <v>189</v>
      </c>
      <c r="B114" s="4" t="s">
        <v>63</v>
      </c>
      <c r="C114" s="4" t="s">
        <v>206</v>
      </c>
      <c r="D114" s="4" t="s">
        <v>207</v>
      </c>
      <c r="E114" s="4" t="s">
        <v>8</v>
      </c>
      <c r="F114" s="4" t="s">
        <v>50</v>
      </c>
      <c r="G114" s="5" t="n">
        <v>85.01</v>
      </c>
      <c r="H114" s="6" t="n">
        <v>1.0237</v>
      </c>
      <c r="I114" s="6" t="n">
        <v>0.22</v>
      </c>
      <c r="J114" s="5" t="n">
        <v>18.7</v>
      </c>
      <c r="K114" s="6" t="n">
        <v>0.6642</v>
      </c>
      <c r="L114" s="5" t="n">
        <v>11.86</v>
      </c>
      <c r="M114" s="5" t="n">
        <v>68.32</v>
      </c>
      <c r="N114" s="4" t="str">
        <f aca="false">IF(ABS(G114*I114-J114)&lt;=0.011,"OK","CHECK")</f>
        <v>OK</v>
      </c>
      <c r="O114" s="4" t="str">
        <f aca="false">IF(ABS(ROUND(G114*H114-J114,2)-M114)&lt;=0.011,"OK","CHECK")</f>
        <v>OK</v>
      </c>
      <c r="P114" s="4" t="str">
        <f aca="false">IF(ABS(ROUND(M114*21/121,2)-L114)&lt;=0.011,"OK","CHECK")</f>
        <v>OK</v>
      </c>
      <c r="Q114" s="4" t="str">
        <f aca="false">IF(ABS((M114-L114)/G114-K114)&lt;=0.0006,"OK","CHECK")</f>
        <v>OK</v>
      </c>
    </row>
    <row r="115" customFormat="false" ht="15" hidden="false" customHeight="true" outlineLevel="0" collapsed="false">
      <c r="A115" s="4" t="s">
        <v>189</v>
      </c>
      <c r="B115" s="4" t="s">
        <v>63</v>
      </c>
      <c r="C115" s="4" t="s">
        <v>206</v>
      </c>
      <c r="D115" s="4" t="s">
        <v>208</v>
      </c>
      <c r="E115" s="4" t="s">
        <v>8</v>
      </c>
      <c r="F115" s="4" t="s">
        <v>48</v>
      </c>
      <c r="G115" s="5" t="n">
        <v>728.13</v>
      </c>
      <c r="H115" s="6" t="n">
        <v>2.192</v>
      </c>
      <c r="I115" s="6" t="n">
        <v>0.23</v>
      </c>
      <c r="J115" s="5" t="n">
        <v>167.47</v>
      </c>
      <c r="K115" s="6" t="n">
        <v>1.6215</v>
      </c>
      <c r="L115" s="5" t="n">
        <v>247.94</v>
      </c>
      <c r="M115" s="5" t="n">
        <v>1428.59</v>
      </c>
      <c r="N115" s="4" t="str">
        <f aca="false">IF(ABS(G115*I115-J115)&lt;=0.011,"OK","CHECK")</f>
        <v>OK</v>
      </c>
      <c r="O115" s="4" t="str">
        <f aca="false">IF(ABS(ROUND(G115*H115-J115,2)-M115)&lt;=0.011,"OK","CHECK")</f>
        <v>OK</v>
      </c>
      <c r="P115" s="4" t="str">
        <f aca="false">IF(ABS(ROUND(M115*21/121,2)-L115)&lt;=0.011,"OK","CHECK")</f>
        <v>OK</v>
      </c>
      <c r="Q115" s="4" t="str">
        <f aca="false">IF(ABS((M115-L115)/G115-K115)&lt;=0.0006,"OK","CHECK")</f>
        <v>OK</v>
      </c>
    </row>
    <row r="116" customFormat="false" ht="15" hidden="false" customHeight="true" outlineLevel="0" collapsed="false">
      <c r="A116" s="4" t="s">
        <v>189</v>
      </c>
      <c r="B116" s="4" t="s">
        <v>63</v>
      </c>
      <c r="C116" s="4" t="s">
        <v>206</v>
      </c>
      <c r="D116" s="4" t="s">
        <v>209</v>
      </c>
      <c r="E116" s="4" t="s">
        <v>8</v>
      </c>
      <c r="F116" s="4" t="s">
        <v>48</v>
      </c>
      <c r="G116" s="5" t="n">
        <v>150.22</v>
      </c>
      <c r="H116" s="6" t="n">
        <v>2.192</v>
      </c>
      <c r="I116" s="6" t="n">
        <v>0.23</v>
      </c>
      <c r="J116" s="5" t="n">
        <v>34.55</v>
      </c>
      <c r="K116" s="6" t="n">
        <v>1.6215</v>
      </c>
      <c r="L116" s="5" t="n">
        <v>51.15</v>
      </c>
      <c r="M116" s="5" t="n">
        <v>294.73</v>
      </c>
      <c r="N116" s="4" t="str">
        <f aca="false">IF(ABS(G116*I116-J116)&lt;=0.011,"OK","CHECK")</f>
        <v>OK</v>
      </c>
      <c r="O116" s="4" t="str">
        <f aca="false">IF(ABS(ROUND(G116*H116-J116,2)-M116)&lt;=0.011,"OK","CHECK")</f>
        <v>OK</v>
      </c>
      <c r="P116" s="4" t="str">
        <f aca="false">IF(ABS(ROUND(M116*21/121,2)-L116)&lt;=0.011,"OK","CHECK")</f>
        <v>OK</v>
      </c>
      <c r="Q116" s="4" t="str">
        <f aca="false">IF(ABS((M116-L116)/G116-K116)&lt;=0.0006,"OK","CHECK")</f>
        <v>OK</v>
      </c>
    </row>
    <row r="117" customFormat="false" ht="15" hidden="false" customHeight="true" outlineLevel="0" collapsed="false">
      <c r="A117" s="4" t="s">
        <v>189</v>
      </c>
      <c r="B117" s="4" t="s">
        <v>63</v>
      </c>
      <c r="C117" s="4" t="s">
        <v>210</v>
      </c>
      <c r="D117" s="4" t="s">
        <v>211</v>
      </c>
      <c r="E117" s="4" t="s">
        <v>8</v>
      </c>
      <c r="F117" s="4" t="s">
        <v>50</v>
      </c>
      <c r="G117" s="5" t="n">
        <v>61.51</v>
      </c>
      <c r="H117" s="6" t="n">
        <v>1.0237</v>
      </c>
      <c r="I117" s="6" t="n">
        <v>0.22</v>
      </c>
      <c r="J117" s="5" t="n">
        <v>13.53</v>
      </c>
      <c r="K117" s="6" t="n">
        <v>0.6643</v>
      </c>
      <c r="L117" s="5" t="n">
        <v>8.58</v>
      </c>
      <c r="M117" s="5" t="n">
        <v>49.44</v>
      </c>
      <c r="N117" s="4" t="str">
        <f aca="false">IF(ABS(G117*I117-J117)&lt;=0.011,"OK","CHECK")</f>
        <v>OK</v>
      </c>
      <c r="O117" s="4" t="str">
        <f aca="false">IF(ABS(ROUND(G117*H117-J117,2)-M117)&lt;=0.011,"OK","CHECK")</f>
        <v>OK</v>
      </c>
      <c r="P117" s="4" t="str">
        <f aca="false">IF(ABS(ROUND(M117*21/121,2)-L117)&lt;=0.011,"OK","CHECK")</f>
        <v>OK</v>
      </c>
      <c r="Q117" s="4" t="str">
        <f aca="false">IF(ABS((M117-L117)/G117-K117)&lt;=0.0006,"OK","CHECK")</f>
        <v>OK</v>
      </c>
    </row>
    <row r="118" customFormat="false" ht="15" hidden="false" customHeight="true" outlineLevel="0" collapsed="false">
      <c r="A118" s="4" t="s">
        <v>189</v>
      </c>
      <c r="B118" s="4" t="s">
        <v>63</v>
      </c>
      <c r="C118" s="4" t="s">
        <v>212</v>
      </c>
      <c r="D118" s="4" t="s">
        <v>213</v>
      </c>
      <c r="E118" s="4" t="s">
        <v>13</v>
      </c>
      <c r="F118" s="4" t="s">
        <v>50</v>
      </c>
      <c r="G118" s="5" t="n">
        <v>42.37</v>
      </c>
      <c r="H118" s="6" t="n">
        <v>1.0237</v>
      </c>
      <c r="I118" s="6" t="n">
        <v>0.22</v>
      </c>
      <c r="J118" s="5" t="n">
        <v>9.32</v>
      </c>
      <c r="K118" s="6" t="n">
        <v>0.6641</v>
      </c>
      <c r="L118" s="5" t="n">
        <v>5.91</v>
      </c>
      <c r="M118" s="5" t="n">
        <v>34.05</v>
      </c>
      <c r="N118" s="4" t="str">
        <f aca="false">IF(ABS(G118*I118-J118)&lt;=0.011,"OK","CHECK")</f>
        <v>OK</v>
      </c>
      <c r="O118" s="4" t="str">
        <f aca="false">IF(ABS(ROUND(G118*H118-J118,2)-M118)&lt;=0.011,"OK","CHECK")</f>
        <v>OK</v>
      </c>
      <c r="P118" s="4" t="str">
        <f aca="false">IF(ABS(ROUND(M118*21/121,2)-L118)&lt;=0.011,"OK","CHECK")</f>
        <v>OK</v>
      </c>
      <c r="Q118" s="4" t="str">
        <f aca="false">IF(ABS((M118-L118)/G118-K118)&lt;=0.0006,"OK","CHECK")</f>
        <v>OK</v>
      </c>
    </row>
    <row r="119" customFormat="false" ht="15" hidden="false" customHeight="true" outlineLevel="0" collapsed="false">
      <c r="A119" s="4" t="s">
        <v>189</v>
      </c>
      <c r="B119" s="4" t="s">
        <v>63</v>
      </c>
      <c r="C119" s="4" t="s">
        <v>212</v>
      </c>
      <c r="D119" s="4" t="s">
        <v>214</v>
      </c>
      <c r="E119" s="4" t="s">
        <v>13</v>
      </c>
      <c r="F119" s="4" t="s">
        <v>48</v>
      </c>
      <c r="G119" s="5" t="n">
        <v>395.21</v>
      </c>
      <c r="H119" s="6" t="n">
        <v>2.038</v>
      </c>
      <c r="I119" s="6" t="n">
        <v>0.105</v>
      </c>
      <c r="J119" s="5" t="n">
        <v>41.5</v>
      </c>
      <c r="K119" s="6" t="n">
        <v>1.5975</v>
      </c>
      <c r="L119" s="5" t="n">
        <v>132.58</v>
      </c>
      <c r="M119" s="5" t="n">
        <v>763.94</v>
      </c>
      <c r="N119" s="4" t="str">
        <f aca="false">IF(ABS(G119*I119-J119)&lt;=0.011,"OK","CHECK")</f>
        <v>OK</v>
      </c>
      <c r="O119" s="4" t="str">
        <f aca="false">IF(ABS(ROUND(G119*H119-J119,2)-M119)&lt;=0.011,"OK","CHECK")</f>
        <v>OK</v>
      </c>
      <c r="P119" s="4" t="str">
        <f aca="false">IF(ABS(ROUND(M119*21/121,2)-L119)&lt;=0.011,"OK","CHECK")</f>
        <v>OK</v>
      </c>
      <c r="Q119" s="4" t="str">
        <f aca="false">IF(ABS((M119-L119)/G119-K119)&lt;=0.0006,"OK","CHECK")</f>
        <v>OK</v>
      </c>
    </row>
    <row r="120" customFormat="false" ht="15" hidden="false" customHeight="true" outlineLevel="0" collapsed="false">
      <c r="A120" s="4" t="s">
        <v>189</v>
      </c>
      <c r="B120" s="4" t="s">
        <v>63</v>
      </c>
      <c r="C120" s="4" t="s">
        <v>212</v>
      </c>
      <c r="D120" s="4" t="s">
        <v>215</v>
      </c>
      <c r="E120" s="4" t="s">
        <v>13</v>
      </c>
      <c r="F120" s="4" t="s">
        <v>48</v>
      </c>
      <c r="G120" s="5" t="n">
        <v>211.83</v>
      </c>
      <c r="H120" s="6" t="n">
        <v>2.038</v>
      </c>
      <c r="I120" s="6" t="n">
        <v>0.105</v>
      </c>
      <c r="J120" s="5" t="n">
        <v>22.24</v>
      </c>
      <c r="K120" s="6" t="n">
        <v>1.5975</v>
      </c>
      <c r="L120" s="5" t="n">
        <v>71.07</v>
      </c>
      <c r="M120" s="5" t="n">
        <v>409.47</v>
      </c>
      <c r="N120" s="4" t="str">
        <f aca="false">IF(ABS(G120*I120-J120)&lt;=0.011,"OK","CHECK")</f>
        <v>OK</v>
      </c>
      <c r="O120" s="4" t="str">
        <f aca="false">IF(ABS(ROUND(G120*H120-J120,2)-M120)&lt;=0.011,"OK","CHECK")</f>
        <v>OK</v>
      </c>
      <c r="P120" s="4" t="str">
        <f aca="false">IF(ABS(ROUND(M120*21/121,2)-L120)&lt;=0.011,"OK","CHECK")</f>
        <v>OK</v>
      </c>
      <c r="Q120" s="4" t="str">
        <f aca="false">IF(ABS((M120-L120)/G120-K120)&lt;=0.0006,"OK","CHECK")</f>
        <v>OK</v>
      </c>
    </row>
    <row r="121" customFormat="false" ht="15" hidden="false" customHeight="true" outlineLevel="0" collapsed="false">
      <c r="A121" s="4" t="s">
        <v>189</v>
      </c>
      <c r="B121" s="4" t="s">
        <v>71</v>
      </c>
      <c r="C121" s="4" t="s">
        <v>216</v>
      </c>
      <c r="D121" s="4" t="s">
        <v>217</v>
      </c>
      <c r="E121" s="4" t="s">
        <v>8</v>
      </c>
      <c r="F121" s="4" t="s">
        <v>50</v>
      </c>
      <c r="G121" s="5" t="n">
        <v>33.72</v>
      </c>
      <c r="H121" s="6" t="n">
        <v>1.0237</v>
      </c>
      <c r="I121" s="6" t="n">
        <v>0.22</v>
      </c>
      <c r="J121" s="5" t="n">
        <v>7.42</v>
      </c>
      <c r="K121" s="6" t="n">
        <v>0.6643</v>
      </c>
      <c r="L121" s="5" t="n">
        <v>4.7</v>
      </c>
      <c r="M121" s="5" t="n">
        <v>27.1</v>
      </c>
      <c r="N121" s="4" t="str">
        <f aca="false">IF(ABS(G121*I121-J121)&lt;=0.011,"OK","CHECK")</f>
        <v>OK</v>
      </c>
      <c r="O121" s="4" t="str">
        <f aca="false">IF(ABS(ROUND(G121*H121-J121,2)-M121)&lt;=0.011,"OK","CHECK")</f>
        <v>OK</v>
      </c>
      <c r="P121" s="4" t="str">
        <f aca="false">IF(ABS(ROUND(M121*21/121,2)-L121)&lt;=0.011,"OK","CHECK")</f>
        <v>OK</v>
      </c>
      <c r="Q121" s="4" t="str">
        <f aca="false">IF(ABS((M121-L121)/G121-K121)&lt;=0.0006,"OK","CHECK")</f>
        <v>OK</v>
      </c>
    </row>
    <row r="122" customFormat="false" ht="15" hidden="false" customHeight="true" outlineLevel="0" collapsed="false">
      <c r="A122" s="4" t="s">
        <v>189</v>
      </c>
      <c r="B122" s="4" t="s">
        <v>71</v>
      </c>
      <c r="C122" s="4" t="s">
        <v>216</v>
      </c>
      <c r="D122" s="4" t="s">
        <v>218</v>
      </c>
      <c r="E122" s="4" t="s">
        <v>8</v>
      </c>
      <c r="F122" s="4" t="s">
        <v>48</v>
      </c>
      <c r="G122" s="5" t="n">
        <v>342</v>
      </c>
      <c r="H122" s="6" t="n">
        <v>2.116</v>
      </c>
      <c r="I122" s="6" t="n">
        <v>0.23</v>
      </c>
      <c r="J122" s="5" t="n">
        <v>78.66</v>
      </c>
      <c r="K122" s="6" t="n">
        <v>1.5587</v>
      </c>
      <c r="L122" s="5" t="n">
        <v>111.94</v>
      </c>
      <c r="M122" s="5" t="n">
        <v>645.01</v>
      </c>
      <c r="N122" s="4" t="str">
        <f aca="false">IF(ABS(G122*I122-J122)&lt;=0.011,"OK","CHECK")</f>
        <v>OK</v>
      </c>
      <c r="O122" s="4" t="str">
        <f aca="false">IF(ABS(ROUND(G122*H122-J122,2)-M122)&lt;=0.011,"OK","CHECK")</f>
        <v>OK</v>
      </c>
      <c r="P122" s="4" t="str">
        <f aca="false">IF(ABS(ROUND(M122*21/121,2)-L122)&lt;=0.011,"OK","CHECK")</f>
        <v>OK</v>
      </c>
      <c r="Q122" s="4" t="str">
        <f aca="false">IF(ABS((M122-L122)/G122-K122)&lt;=0.0006,"OK","CHECK")</f>
        <v>OK</v>
      </c>
    </row>
    <row r="123" customFormat="false" ht="15" hidden="false" customHeight="true" outlineLevel="0" collapsed="false">
      <c r="A123" s="4" t="s">
        <v>189</v>
      </c>
      <c r="B123" s="4" t="s">
        <v>71</v>
      </c>
      <c r="C123" s="4" t="s">
        <v>219</v>
      </c>
      <c r="D123" s="4" t="s">
        <v>220</v>
      </c>
      <c r="E123" s="4" t="s">
        <v>8</v>
      </c>
      <c r="F123" s="4" t="s">
        <v>48</v>
      </c>
      <c r="G123" s="5" t="n">
        <v>540</v>
      </c>
      <c r="H123" s="6" t="n">
        <v>2.141</v>
      </c>
      <c r="I123" s="6" t="n">
        <v>0.23</v>
      </c>
      <c r="J123" s="5" t="n">
        <v>124.2</v>
      </c>
      <c r="K123" s="6" t="n">
        <v>1.5793</v>
      </c>
      <c r="L123" s="5" t="n">
        <v>179.1</v>
      </c>
      <c r="M123" s="5" t="n">
        <v>1031.94</v>
      </c>
      <c r="N123" s="4" t="str">
        <f aca="false">IF(ABS(G123*I123-J123)&lt;=0.011,"OK","CHECK")</f>
        <v>OK</v>
      </c>
      <c r="O123" s="4" t="str">
        <f aca="false">IF(ABS(ROUND(G123*H123-J123,2)-M123)&lt;=0.011,"OK","CHECK")</f>
        <v>OK</v>
      </c>
      <c r="P123" s="4" t="str">
        <f aca="false">IF(ABS(ROUND(M123*21/121,2)-L123)&lt;=0.011,"OK","CHECK")</f>
        <v>OK</v>
      </c>
      <c r="Q123" s="4" t="str">
        <f aca="false">IF(ABS((M123-L123)/G123-K123)&lt;=0.0006,"OK","CHECK")</f>
        <v>OK</v>
      </c>
    </row>
    <row r="124" customFormat="false" ht="15" hidden="false" customHeight="true" outlineLevel="0" collapsed="false">
      <c r="A124" s="4" t="s">
        <v>189</v>
      </c>
      <c r="B124" s="4" t="s">
        <v>71</v>
      </c>
      <c r="C124" s="4" t="s">
        <v>219</v>
      </c>
      <c r="D124" s="4" t="s">
        <v>221</v>
      </c>
      <c r="E124" s="4" t="s">
        <v>8</v>
      </c>
      <c r="F124" s="4" t="s">
        <v>50</v>
      </c>
      <c r="G124" s="5" t="n">
        <v>56</v>
      </c>
      <c r="H124" s="6" t="n">
        <v>1.0237</v>
      </c>
      <c r="I124" s="6" t="n">
        <v>0.22</v>
      </c>
      <c r="J124" s="5" t="n">
        <v>12.32</v>
      </c>
      <c r="K124" s="6" t="n">
        <v>0.6643</v>
      </c>
      <c r="L124" s="5" t="n">
        <v>7.81</v>
      </c>
      <c r="M124" s="5" t="n">
        <v>45.01</v>
      </c>
      <c r="N124" s="4" t="str">
        <f aca="false">IF(ABS(G124*I124-J124)&lt;=0.011,"OK","CHECK")</f>
        <v>OK</v>
      </c>
      <c r="O124" s="4" t="str">
        <f aca="false">IF(ABS(ROUND(G124*H124-J124,2)-M124)&lt;=0.011,"OK","CHECK")</f>
        <v>OK</v>
      </c>
      <c r="P124" s="4" t="str">
        <f aca="false">IF(ABS(ROUND(M124*21/121,2)-L124)&lt;=0.011,"OK","CHECK")</f>
        <v>OK</v>
      </c>
      <c r="Q124" s="4" t="str">
        <f aca="false">IF(ABS((M124-L124)/G124-K124)&lt;=0.0006,"OK","CHECK")</f>
        <v>OK</v>
      </c>
    </row>
    <row r="125" customFormat="false" ht="15" hidden="false" customHeight="true" outlineLevel="0" collapsed="false">
      <c r="A125" s="4" t="s">
        <v>189</v>
      </c>
      <c r="B125" s="4" t="s">
        <v>71</v>
      </c>
      <c r="C125" s="4" t="s">
        <v>197</v>
      </c>
      <c r="D125" s="4" t="s">
        <v>222</v>
      </c>
      <c r="E125" s="4" t="s">
        <v>12</v>
      </c>
      <c r="F125" s="4" t="s">
        <v>48</v>
      </c>
      <c r="G125" s="5" t="n">
        <v>300.1</v>
      </c>
      <c r="H125" s="6" t="n">
        <v>2.038</v>
      </c>
      <c r="I125" s="6" t="n">
        <v>0.23</v>
      </c>
      <c r="J125" s="5" t="n">
        <v>69.02</v>
      </c>
      <c r="K125" s="6" t="n">
        <v>1.4942</v>
      </c>
      <c r="L125" s="5" t="n">
        <v>94.17</v>
      </c>
      <c r="M125" s="5" t="n">
        <v>542.58</v>
      </c>
      <c r="N125" s="4" t="str">
        <f aca="false">IF(ABS(G125*I125-J125)&lt;=0.011,"OK","CHECK")</f>
        <v>OK</v>
      </c>
      <c r="O125" s="4" t="str">
        <f aca="false">IF(ABS(ROUND(G125*H125-J125,2)-M125)&lt;=0.011,"OK","CHECK")</f>
        <v>OK</v>
      </c>
      <c r="P125" s="4" t="str">
        <f aca="false">IF(ABS(ROUND(M125*21/121,2)-L125)&lt;=0.011,"OK","CHECK")</f>
        <v>OK</v>
      </c>
      <c r="Q125" s="4" t="str">
        <f aca="false">IF(ABS((M125-L125)/G125-K125)&lt;=0.0006,"OK","CHECK")</f>
        <v>OK</v>
      </c>
    </row>
    <row r="126" customFormat="false" ht="15" hidden="false" customHeight="true" outlineLevel="0" collapsed="false">
      <c r="A126" s="4" t="s">
        <v>189</v>
      </c>
      <c r="B126" s="4" t="s">
        <v>71</v>
      </c>
      <c r="C126" s="4" t="s">
        <v>197</v>
      </c>
      <c r="D126" s="4" t="s">
        <v>223</v>
      </c>
      <c r="E126" s="4" t="s">
        <v>12</v>
      </c>
      <c r="F126" s="4" t="s">
        <v>48</v>
      </c>
      <c r="G126" s="5" t="n">
        <v>200</v>
      </c>
      <c r="H126" s="6" t="n">
        <v>2.038</v>
      </c>
      <c r="I126" s="6" t="n">
        <v>0.23</v>
      </c>
      <c r="J126" s="5" t="n">
        <v>46</v>
      </c>
      <c r="K126" s="6" t="n">
        <v>1.4942</v>
      </c>
      <c r="L126" s="5" t="n">
        <v>62.76</v>
      </c>
      <c r="M126" s="5" t="n">
        <v>361.6</v>
      </c>
      <c r="N126" s="4" t="str">
        <f aca="false">IF(ABS(G126*I126-J126)&lt;=0.011,"OK","CHECK")</f>
        <v>OK</v>
      </c>
      <c r="O126" s="4" t="str">
        <f aca="false">IF(ABS(ROUND(G126*H126-J126,2)-M126)&lt;=0.011,"OK","CHECK")</f>
        <v>OK</v>
      </c>
      <c r="P126" s="4" t="str">
        <f aca="false">IF(ABS(ROUND(M126*21/121,2)-L126)&lt;=0.011,"OK","CHECK")</f>
        <v>OK</v>
      </c>
      <c r="Q126" s="4" t="str">
        <f aca="false">IF(ABS((M126-L126)/G126-K126)&lt;=0.0006,"OK","CHECK")</f>
        <v>OK</v>
      </c>
    </row>
    <row r="127" customFormat="false" ht="15" hidden="false" customHeight="true" outlineLevel="0" collapsed="false">
      <c r="A127" s="4" t="s">
        <v>189</v>
      </c>
      <c r="B127" s="4" t="s">
        <v>71</v>
      </c>
      <c r="C127" s="4" t="s">
        <v>197</v>
      </c>
      <c r="D127" s="4" t="s">
        <v>224</v>
      </c>
      <c r="E127" s="4" t="s">
        <v>12</v>
      </c>
      <c r="F127" s="4" t="s">
        <v>50</v>
      </c>
      <c r="G127" s="5" t="n">
        <v>58.23</v>
      </c>
      <c r="H127" s="6" t="n">
        <v>1.4738</v>
      </c>
      <c r="I127" s="6" t="n">
        <v>0.6</v>
      </c>
      <c r="J127" s="5" t="n">
        <v>34.94</v>
      </c>
      <c r="K127" s="6" t="n">
        <v>0.7221</v>
      </c>
      <c r="L127" s="5" t="n">
        <v>8.83</v>
      </c>
      <c r="M127" s="5" t="n">
        <v>50.88</v>
      </c>
      <c r="N127" s="4" t="str">
        <f aca="false">IF(ABS(G127*I127-J127)&lt;=0.011,"OK","CHECK")</f>
        <v>OK</v>
      </c>
      <c r="O127" s="4" t="str">
        <f aca="false">IF(ABS(ROUND(G127*H127-J127,2)-M127)&lt;=0.011,"OK","CHECK")</f>
        <v>OK</v>
      </c>
      <c r="P127" s="4" t="str">
        <f aca="false">IF(ABS(ROUND(M127*21/121,2)-L127)&lt;=0.011,"OK","CHECK")</f>
        <v>OK</v>
      </c>
      <c r="Q127" s="4" t="str">
        <f aca="false">IF(ABS((M127-L127)/G127-K127)&lt;=0.0006,"OK","CHECK")</f>
        <v>OK</v>
      </c>
    </row>
    <row r="128" customFormat="false" ht="15" hidden="false" customHeight="true" outlineLevel="0" collapsed="false">
      <c r="A128" s="4" t="s">
        <v>189</v>
      </c>
      <c r="B128" s="4" t="s">
        <v>82</v>
      </c>
      <c r="C128" s="4" t="s">
        <v>216</v>
      </c>
      <c r="D128" s="4" t="s">
        <v>75</v>
      </c>
      <c r="E128" s="4" t="s">
        <v>8</v>
      </c>
      <c r="F128" s="4" t="s">
        <v>48</v>
      </c>
      <c r="G128" s="5" t="n">
        <v>756.11</v>
      </c>
      <c r="H128" s="6" t="n">
        <v>2.116</v>
      </c>
      <c r="I128" s="6" t="n">
        <v>0.23</v>
      </c>
      <c r="J128" s="5" t="n">
        <v>173.91</v>
      </c>
      <c r="K128" s="6" t="n">
        <v>1.5587</v>
      </c>
      <c r="L128" s="5" t="n">
        <v>247.49</v>
      </c>
      <c r="M128" s="5" t="n">
        <v>1426.02</v>
      </c>
      <c r="N128" s="4" t="str">
        <f aca="false">IF(ABS(G128*I128-J128)&lt;=0.011,"OK","CHECK")</f>
        <v>OK</v>
      </c>
      <c r="O128" s="4" t="str">
        <f aca="false">IF(ABS(ROUND(G128*H128-J128,2)-M128)&lt;=0.011,"OK","CHECK")</f>
        <v>OK</v>
      </c>
      <c r="P128" s="4" t="str">
        <f aca="false">IF(ABS(ROUND(M128*21/121,2)-L128)&lt;=0.011,"OK","CHECK")</f>
        <v>OK</v>
      </c>
      <c r="Q128" s="4" t="str">
        <f aca="false">IF(ABS((M128-L128)/G128-K128)&lt;=0.0006,"OK","CHECK")</f>
        <v>OK</v>
      </c>
    </row>
    <row r="129" customFormat="false" ht="15" hidden="false" customHeight="true" outlineLevel="0" collapsed="false">
      <c r="A129" s="4" t="s">
        <v>189</v>
      </c>
      <c r="B129" s="4" t="s">
        <v>82</v>
      </c>
      <c r="C129" s="4" t="s">
        <v>216</v>
      </c>
      <c r="D129" s="4" t="s">
        <v>225</v>
      </c>
      <c r="E129" s="4" t="s">
        <v>8</v>
      </c>
      <c r="F129" s="4" t="s">
        <v>48</v>
      </c>
      <c r="G129" s="5" t="n">
        <v>70</v>
      </c>
      <c r="H129" s="6" t="n">
        <v>2.116</v>
      </c>
      <c r="I129" s="6" t="n">
        <v>0.23</v>
      </c>
      <c r="J129" s="5" t="n">
        <v>16.1</v>
      </c>
      <c r="K129" s="6" t="n">
        <v>1.5587</v>
      </c>
      <c r="L129" s="5" t="n">
        <v>22.91</v>
      </c>
      <c r="M129" s="5" t="n">
        <v>132.02</v>
      </c>
      <c r="N129" s="4" t="str">
        <f aca="false">IF(ABS(G129*I129-J129)&lt;=0.011,"OK","CHECK")</f>
        <v>OK</v>
      </c>
      <c r="O129" s="4" t="str">
        <f aca="false">IF(ABS(ROUND(G129*H129-J129,2)-M129)&lt;=0.011,"OK","CHECK")</f>
        <v>OK</v>
      </c>
      <c r="P129" s="4" t="str">
        <f aca="false">IF(ABS(ROUND(M129*21/121,2)-L129)&lt;=0.011,"OK","CHECK")</f>
        <v>OK</v>
      </c>
      <c r="Q129" s="4" t="str">
        <f aca="false">IF(ABS((M129-L129)/G129-K129)&lt;=0.0006,"OK","CHECK")</f>
        <v>OK</v>
      </c>
    </row>
    <row r="130" customFormat="false" ht="15" hidden="false" customHeight="true" outlineLevel="0" collapsed="false">
      <c r="A130" s="4" t="s">
        <v>189</v>
      </c>
      <c r="B130" s="4" t="s">
        <v>82</v>
      </c>
      <c r="C130" s="4" t="s">
        <v>216</v>
      </c>
      <c r="D130" s="4" t="s">
        <v>174</v>
      </c>
      <c r="E130" s="4" t="s">
        <v>8</v>
      </c>
      <c r="F130" s="4" t="s">
        <v>50</v>
      </c>
      <c r="G130" s="5" t="n">
        <v>91.73</v>
      </c>
      <c r="H130" s="6" t="n">
        <v>1.0237</v>
      </c>
      <c r="I130" s="6" t="n">
        <v>0.22</v>
      </c>
      <c r="J130" s="5" t="n">
        <v>20.18</v>
      </c>
      <c r="K130" s="6" t="n">
        <v>0.6642</v>
      </c>
      <c r="L130" s="5" t="n">
        <v>12.79</v>
      </c>
      <c r="M130" s="5" t="n">
        <v>73.72</v>
      </c>
      <c r="N130" s="4" t="str">
        <f aca="false">IF(ABS(G130*I130-J130)&lt;=0.011,"OK","CHECK")</f>
        <v>OK</v>
      </c>
      <c r="O130" s="4" t="str">
        <f aca="false">IF(ABS(ROUND(G130*H130-J130,2)-M130)&lt;=0.011,"OK","CHECK")</f>
        <v>OK</v>
      </c>
      <c r="P130" s="4" t="str">
        <f aca="false">IF(ABS(ROUND(M130*21/121,2)-L130)&lt;=0.011,"OK","CHECK")</f>
        <v>OK</v>
      </c>
      <c r="Q130" s="4" t="str">
        <f aca="false">IF(ABS((M130-L130)/G130-K130)&lt;=0.0006,"OK","CHECK")</f>
        <v>OK</v>
      </c>
    </row>
    <row r="131" customFormat="false" ht="15" hidden="false" customHeight="true" outlineLevel="0" collapsed="false">
      <c r="A131" s="4" t="s">
        <v>189</v>
      </c>
      <c r="B131" s="4" t="s">
        <v>82</v>
      </c>
      <c r="C131" s="4" t="s">
        <v>219</v>
      </c>
      <c r="D131" s="4" t="s">
        <v>226</v>
      </c>
      <c r="E131" s="4" t="s">
        <v>8</v>
      </c>
      <c r="F131" s="4" t="s">
        <v>48</v>
      </c>
      <c r="G131" s="5" t="n">
        <v>661.31</v>
      </c>
      <c r="H131" s="6" t="n">
        <v>2.141</v>
      </c>
      <c r="I131" s="6" t="n">
        <v>0.23</v>
      </c>
      <c r="J131" s="5" t="n">
        <v>152.1</v>
      </c>
      <c r="K131" s="6" t="n">
        <v>1.5793</v>
      </c>
      <c r="L131" s="5" t="n">
        <v>219.33</v>
      </c>
      <c r="M131" s="5" t="n">
        <v>1263.76</v>
      </c>
      <c r="N131" s="4" t="str">
        <f aca="false">IF(ABS(G131*I131-J131)&lt;=0.011,"OK","CHECK")</f>
        <v>OK</v>
      </c>
      <c r="O131" s="4" t="str">
        <f aca="false">IF(ABS(ROUND(G131*H131-J131,2)-M131)&lt;=0.011,"OK","CHECK")</f>
        <v>OK</v>
      </c>
      <c r="P131" s="4" t="str">
        <f aca="false">IF(ABS(ROUND(M131*21/121,2)-L131)&lt;=0.011,"OK","CHECK")</f>
        <v>OK</v>
      </c>
      <c r="Q131" s="4" t="str">
        <f aca="false">IF(ABS((M131-L131)/G131-K131)&lt;=0.0006,"OK","CHECK")</f>
        <v>OK</v>
      </c>
    </row>
    <row r="132" customFormat="false" ht="15" hidden="false" customHeight="true" outlineLevel="0" collapsed="false">
      <c r="A132" s="4" t="s">
        <v>189</v>
      </c>
      <c r="B132" s="4" t="s">
        <v>82</v>
      </c>
      <c r="C132" s="4" t="s">
        <v>219</v>
      </c>
      <c r="D132" s="4" t="s">
        <v>160</v>
      </c>
      <c r="E132" s="4" t="s">
        <v>8</v>
      </c>
      <c r="F132" s="4" t="s">
        <v>50</v>
      </c>
      <c r="G132" s="5" t="n">
        <v>77.08</v>
      </c>
      <c r="H132" s="6" t="n">
        <v>1.0237</v>
      </c>
      <c r="I132" s="6" t="n">
        <v>0.22</v>
      </c>
      <c r="J132" s="5" t="n">
        <v>16.96</v>
      </c>
      <c r="K132" s="6" t="n">
        <v>0.6642</v>
      </c>
      <c r="L132" s="5" t="n">
        <v>10.75</v>
      </c>
      <c r="M132" s="5" t="n">
        <v>61.95</v>
      </c>
      <c r="N132" s="4" t="str">
        <f aca="false">IF(ABS(G132*I132-J132)&lt;=0.011,"OK","CHECK")</f>
        <v>OK</v>
      </c>
      <c r="O132" s="4" t="str">
        <f aca="false">IF(ABS(ROUND(G132*H132-J132,2)-M132)&lt;=0.011,"OK","CHECK")</f>
        <v>OK</v>
      </c>
      <c r="P132" s="4" t="str">
        <f aca="false">IF(ABS(ROUND(M132*21/121,2)-L132)&lt;=0.011,"OK","CHECK")</f>
        <v>OK</v>
      </c>
      <c r="Q132" s="4" t="str">
        <f aca="false">IF(ABS((M132-L132)/G132-K132)&lt;=0.0006,"OK","CHECK")</f>
        <v>OK</v>
      </c>
    </row>
    <row r="133" customFormat="false" ht="15" hidden="false" customHeight="true" outlineLevel="0" collapsed="false">
      <c r="A133" s="4" t="s">
        <v>189</v>
      </c>
      <c r="B133" s="4" t="s">
        <v>87</v>
      </c>
      <c r="C133" s="4" t="s">
        <v>227</v>
      </c>
      <c r="D133" s="4" t="s">
        <v>228</v>
      </c>
      <c r="E133" s="4" t="s">
        <v>15</v>
      </c>
      <c r="F133" s="4" t="s">
        <v>48</v>
      </c>
      <c r="G133" s="5" t="n">
        <v>166.58</v>
      </c>
      <c r="H133" s="6" t="n">
        <v>2.192</v>
      </c>
      <c r="I133" s="6" t="n">
        <v>0.08</v>
      </c>
      <c r="J133" s="5" t="n">
        <v>13.33</v>
      </c>
      <c r="K133" s="6" t="n">
        <v>1.7454</v>
      </c>
      <c r="L133" s="5" t="n">
        <v>61.06</v>
      </c>
      <c r="M133" s="5" t="n">
        <v>351.81</v>
      </c>
      <c r="N133" s="4" t="str">
        <f aca="false">IF(ABS(G133*I133-J133)&lt;=0.011,"OK","CHECK")</f>
        <v>OK</v>
      </c>
      <c r="O133" s="4" t="str">
        <f aca="false">IF(ABS(ROUND(G133*H133-J133,2)-M133)&lt;=0.011,"OK","CHECK")</f>
        <v>OK</v>
      </c>
      <c r="P133" s="4" t="str">
        <f aca="false">IF(ABS(ROUND(M133*21/121,2)-L133)&lt;=0.011,"OK","CHECK")</f>
        <v>OK</v>
      </c>
      <c r="Q133" s="4" t="str">
        <f aca="false">IF(ABS((M133-L133)/G133-K133)&lt;=0.0006,"OK","CHECK")</f>
        <v>OK</v>
      </c>
    </row>
    <row r="134" customFormat="false" ht="15" hidden="false" customHeight="true" outlineLevel="0" collapsed="false">
      <c r="A134" s="4" t="s">
        <v>189</v>
      </c>
      <c r="B134" s="4" t="s">
        <v>87</v>
      </c>
      <c r="C134" s="4" t="s">
        <v>227</v>
      </c>
      <c r="D134" s="4" t="s">
        <v>229</v>
      </c>
      <c r="E134" s="4" t="s">
        <v>15</v>
      </c>
      <c r="F134" s="4" t="s">
        <v>50</v>
      </c>
      <c r="G134" s="5" t="n">
        <v>124</v>
      </c>
      <c r="H134" s="6" t="n">
        <v>1.183</v>
      </c>
      <c r="I134" s="6" t="n">
        <v>0</v>
      </c>
      <c r="J134" s="5" t="n">
        <v>0</v>
      </c>
      <c r="K134" s="6" t="n">
        <v>0.9777</v>
      </c>
      <c r="L134" s="5" t="n">
        <v>25.46</v>
      </c>
      <c r="M134" s="5" t="n">
        <v>146.69</v>
      </c>
      <c r="N134" s="4" t="str">
        <f aca="false">IF(ABS(G134*I134-J134)&lt;=0.011,"OK","CHECK")</f>
        <v>OK</v>
      </c>
      <c r="O134" s="4" t="str">
        <f aca="false">IF(ABS(ROUND(G134*H134-J134,2)-M134)&lt;=0.011,"OK","CHECK")</f>
        <v>OK</v>
      </c>
      <c r="P134" s="4" t="str">
        <f aca="false">IF(ABS(ROUND(M134*21/121,2)-L134)&lt;=0.011,"OK","CHECK")</f>
        <v>OK</v>
      </c>
      <c r="Q134" s="4" t="str">
        <f aca="false">IF(ABS((M134-L134)/G134-K134)&lt;=0.0006,"OK","CHECK")</f>
        <v>OK</v>
      </c>
    </row>
    <row r="135" customFormat="false" ht="15" hidden="false" customHeight="true" outlineLevel="0" collapsed="false">
      <c r="A135" s="4" t="s">
        <v>189</v>
      </c>
      <c r="B135" s="4" t="s">
        <v>94</v>
      </c>
      <c r="C135" s="4" t="s">
        <v>206</v>
      </c>
      <c r="D135" s="4" t="s">
        <v>230</v>
      </c>
      <c r="E135" s="4" t="s">
        <v>8</v>
      </c>
      <c r="F135" s="4" t="s">
        <v>48</v>
      </c>
      <c r="G135" s="5" t="n">
        <v>726</v>
      </c>
      <c r="H135" s="6" t="n">
        <v>2.192</v>
      </c>
      <c r="I135" s="6" t="n">
        <v>0.23</v>
      </c>
      <c r="J135" s="5" t="n">
        <v>166.98</v>
      </c>
      <c r="K135" s="6" t="n">
        <v>1.6215</v>
      </c>
      <c r="L135" s="5" t="n">
        <v>247.21</v>
      </c>
      <c r="M135" s="5" t="n">
        <v>1424.41</v>
      </c>
      <c r="N135" s="4" t="str">
        <f aca="false">IF(ABS(G135*I135-J135)&lt;=0.011,"OK","CHECK")</f>
        <v>OK</v>
      </c>
      <c r="O135" s="4" t="str">
        <f aca="false">IF(ABS(ROUND(G135*H135-J135,2)-M135)&lt;=0.011,"OK","CHECK")</f>
        <v>OK</v>
      </c>
      <c r="P135" s="4" t="str">
        <f aca="false">IF(ABS(ROUND(M135*21/121,2)-L135)&lt;=0.011,"OK","CHECK")</f>
        <v>OK</v>
      </c>
      <c r="Q135" s="4" t="str">
        <f aca="false">IF(ABS((M135-L135)/G135-K135)&lt;=0.0006,"OK","CHECK")</f>
        <v>OK</v>
      </c>
    </row>
    <row r="136" customFormat="false" ht="15" hidden="false" customHeight="true" outlineLevel="0" collapsed="false">
      <c r="A136" s="4" t="s">
        <v>189</v>
      </c>
      <c r="B136" s="4" t="s">
        <v>94</v>
      </c>
      <c r="C136" s="4" t="s">
        <v>206</v>
      </c>
      <c r="D136" s="4" t="s">
        <v>231</v>
      </c>
      <c r="E136" s="4" t="s">
        <v>8</v>
      </c>
      <c r="F136" s="4" t="s">
        <v>50</v>
      </c>
      <c r="G136" s="5" t="n">
        <v>80</v>
      </c>
      <c r="H136" s="6" t="n">
        <v>1.0237</v>
      </c>
      <c r="I136" s="6" t="n">
        <v>0.22</v>
      </c>
      <c r="J136" s="5" t="n">
        <v>17.6</v>
      </c>
      <c r="K136" s="6" t="n">
        <v>0.6643</v>
      </c>
      <c r="L136" s="5" t="n">
        <v>11.16</v>
      </c>
      <c r="M136" s="5" t="n">
        <v>64.3</v>
      </c>
      <c r="N136" s="4" t="str">
        <f aca="false">IF(ABS(G136*I136-J136)&lt;=0.011,"OK","CHECK")</f>
        <v>OK</v>
      </c>
      <c r="O136" s="4" t="str">
        <f aca="false">IF(ABS(ROUND(G136*H136-J136,2)-M136)&lt;=0.011,"OK","CHECK")</f>
        <v>OK</v>
      </c>
      <c r="P136" s="4" t="str">
        <f aca="false">IF(ABS(ROUND(M136*21/121,2)-L136)&lt;=0.011,"OK","CHECK")</f>
        <v>OK</v>
      </c>
      <c r="Q136" s="4" t="str">
        <f aca="false">IF(ABS((M136-L136)/G136-K136)&lt;=0.0006,"OK","CHECK")</f>
        <v>OK</v>
      </c>
    </row>
    <row r="137" customFormat="false" ht="15" hidden="false" customHeight="true" outlineLevel="0" collapsed="false">
      <c r="A137" s="4" t="s">
        <v>189</v>
      </c>
      <c r="B137" s="4" t="s">
        <v>94</v>
      </c>
      <c r="C137" s="4" t="s">
        <v>232</v>
      </c>
      <c r="D137" s="4" t="s">
        <v>233</v>
      </c>
      <c r="E137" s="4" t="s">
        <v>17</v>
      </c>
      <c r="F137" s="4" t="s">
        <v>48</v>
      </c>
      <c r="G137" s="5" t="n">
        <v>245</v>
      </c>
      <c r="H137" s="6" t="n">
        <v>2.141</v>
      </c>
      <c r="I137" s="6" t="n">
        <v>0.193</v>
      </c>
      <c r="J137" s="5" t="n">
        <v>47.29</v>
      </c>
      <c r="K137" s="6" t="n">
        <v>1.6099</v>
      </c>
      <c r="L137" s="5" t="n">
        <v>82.83</v>
      </c>
      <c r="M137" s="5" t="n">
        <v>477.26</v>
      </c>
      <c r="N137" s="4" t="str">
        <f aca="false">IF(ABS(G137*I137-J137)&lt;=0.011,"OK","CHECK")</f>
        <v>OK</v>
      </c>
      <c r="O137" s="4" t="str">
        <f aca="false">IF(ABS(ROUND(G137*H137-J137,2)-M137)&lt;=0.011,"OK","CHECK")</f>
        <v>OK</v>
      </c>
      <c r="P137" s="4" t="str">
        <f aca="false">IF(ABS(ROUND(M137*21/121,2)-L137)&lt;=0.011,"OK","CHECK")</f>
        <v>OK</v>
      </c>
      <c r="Q137" s="4" t="str">
        <f aca="false">IF(ABS((M137-L137)/G137-K137)&lt;=0.0006,"OK","CHECK")</f>
        <v>OK</v>
      </c>
    </row>
    <row r="138" customFormat="false" ht="15" hidden="false" customHeight="true" outlineLevel="0" collapsed="false">
      <c r="A138" s="4" t="s">
        <v>189</v>
      </c>
      <c r="B138" s="4" t="s">
        <v>94</v>
      </c>
      <c r="C138" s="4" t="s">
        <v>232</v>
      </c>
      <c r="D138" s="4" t="s">
        <v>147</v>
      </c>
      <c r="E138" s="4" t="s">
        <v>17</v>
      </c>
      <c r="F138" s="4" t="s">
        <v>48</v>
      </c>
      <c r="G138" s="5" t="n">
        <v>175</v>
      </c>
      <c r="H138" s="6" t="n">
        <v>2.141</v>
      </c>
      <c r="I138" s="6" t="n">
        <v>0.193</v>
      </c>
      <c r="J138" s="5" t="n">
        <v>33.78</v>
      </c>
      <c r="K138" s="6" t="n">
        <v>1.6099</v>
      </c>
      <c r="L138" s="5" t="n">
        <v>59.16</v>
      </c>
      <c r="M138" s="5" t="n">
        <v>340.9</v>
      </c>
      <c r="N138" s="4" t="str">
        <f aca="false">IF(ABS(G138*I138-J138)&lt;=0.011,"OK","CHECK")</f>
        <v>OK</v>
      </c>
      <c r="O138" s="4" t="str">
        <f aca="false">IF(ABS(ROUND(G138*H138-J138,2)-M138)&lt;=0.011,"OK","CHECK")</f>
        <v>OK</v>
      </c>
      <c r="P138" s="4" t="str">
        <f aca="false">IF(ABS(ROUND(M138*21/121,2)-L138)&lt;=0.011,"OK","CHECK")</f>
        <v>OK</v>
      </c>
      <c r="Q138" s="4" t="str">
        <f aca="false">IF(ABS((M138-L138)/G138-K138)&lt;=0.0006,"OK","CHECK")</f>
        <v>OK</v>
      </c>
    </row>
    <row r="139" customFormat="false" ht="15" hidden="false" customHeight="true" outlineLevel="0" collapsed="false">
      <c r="A139" s="4" t="s">
        <v>189</v>
      </c>
      <c r="B139" s="4" t="s">
        <v>99</v>
      </c>
      <c r="C139" s="4" t="s">
        <v>216</v>
      </c>
      <c r="D139" s="4" t="s">
        <v>234</v>
      </c>
      <c r="E139" s="4" t="s">
        <v>8</v>
      </c>
      <c r="F139" s="4" t="s">
        <v>48</v>
      </c>
      <c r="G139" s="5" t="n">
        <v>699</v>
      </c>
      <c r="H139" s="6" t="n">
        <v>2.116</v>
      </c>
      <c r="I139" s="6" t="n">
        <v>0.23</v>
      </c>
      <c r="J139" s="5" t="n">
        <v>160.77</v>
      </c>
      <c r="K139" s="6" t="n">
        <v>1.5587</v>
      </c>
      <c r="L139" s="5" t="n">
        <v>228.8</v>
      </c>
      <c r="M139" s="5" t="n">
        <v>1318.31</v>
      </c>
      <c r="N139" s="4" t="str">
        <f aca="false">IF(ABS(G139*I139-J139)&lt;=0.011,"OK","CHECK")</f>
        <v>OK</v>
      </c>
      <c r="O139" s="4" t="str">
        <f aca="false">IF(ABS(ROUND(G139*H139-J139,2)-M139)&lt;=0.011,"OK","CHECK")</f>
        <v>OK</v>
      </c>
      <c r="P139" s="4" t="str">
        <f aca="false">IF(ABS(ROUND(M139*21/121,2)-L139)&lt;=0.011,"OK","CHECK")</f>
        <v>OK</v>
      </c>
      <c r="Q139" s="4" t="str">
        <f aca="false">IF(ABS((M139-L139)/G139-K139)&lt;=0.0006,"OK","CHECK")</f>
        <v>OK</v>
      </c>
    </row>
    <row r="140" customFormat="false" ht="15" hidden="false" customHeight="true" outlineLevel="0" collapsed="false">
      <c r="A140" s="4" t="s">
        <v>189</v>
      </c>
      <c r="B140" s="4" t="s">
        <v>99</v>
      </c>
      <c r="C140" s="4" t="s">
        <v>216</v>
      </c>
      <c r="D140" s="4" t="s">
        <v>235</v>
      </c>
      <c r="E140" s="4" t="s">
        <v>8</v>
      </c>
      <c r="F140" s="4" t="s">
        <v>50</v>
      </c>
      <c r="G140" s="5" t="n">
        <v>30</v>
      </c>
      <c r="H140" s="6" t="n">
        <v>1.0237</v>
      </c>
      <c r="I140" s="6" t="n">
        <v>0.22</v>
      </c>
      <c r="J140" s="5" t="n">
        <v>6.6</v>
      </c>
      <c r="K140" s="6" t="n">
        <v>0.6643</v>
      </c>
      <c r="L140" s="5" t="n">
        <v>4.18</v>
      </c>
      <c r="M140" s="5" t="n">
        <v>24.11</v>
      </c>
      <c r="N140" s="4" t="str">
        <f aca="false">IF(ABS(G140*I140-J140)&lt;=0.011,"OK","CHECK")</f>
        <v>OK</v>
      </c>
      <c r="O140" s="4" t="str">
        <f aca="false">IF(ABS(ROUND(G140*H140-J140,2)-M140)&lt;=0.011,"OK","CHECK")</f>
        <v>OK</v>
      </c>
      <c r="P140" s="4" t="str">
        <f aca="false">IF(ABS(ROUND(M140*21/121,2)-L140)&lt;=0.011,"OK","CHECK")</f>
        <v>OK</v>
      </c>
      <c r="Q140" s="4" t="str">
        <f aca="false">IF(ABS((M140-L140)/G140-K140)&lt;=0.0006,"OK","CHECK")</f>
        <v>OK</v>
      </c>
    </row>
    <row r="141" customFormat="false" ht="15" hidden="false" customHeight="true" outlineLevel="0" collapsed="false">
      <c r="A141" s="4" t="s">
        <v>189</v>
      </c>
      <c r="B141" s="4" t="s">
        <v>103</v>
      </c>
      <c r="C141" s="4" t="s">
        <v>200</v>
      </c>
      <c r="D141" s="4" t="s">
        <v>109</v>
      </c>
      <c r="E141" s="4" t="s">
        <v>19</v>
      </c>
      <c r="F141" s="4" t="s">
        <v>48</v>
      </c>
      <c r="G141" s="5" t="n">
        <v>72</v>
      </c>
      <c r="H141" s="6" t="n">
        <v>2.116</v>
      </c>
      <c r="I141" s="6" t="n">
        <v>0.185</v>
      </c>
      <c r="J141" s="5" t="n">
        <v>13.32</v>
      </c>
      <c r="K141" s="6" t="n">
        <v>1.5958</v>
      </c>
      <c r="L141" s="5" t="n">
        <v>24.13</v>
      </c>
      <c r="M141" s="5" t="n">
        <v>139.03</v>
      </c>
      <c r="N141" s="4" t="str">
        <f aca="false">IF(ABS(G141*I141-J141)&lt;=0.011,"OK","CHECK")</f>
        <v>OK</v>
      </c>
      <c r="O141" s="4" t="str">
        <f aca="false">IF(ABS(ROUND(G141*H141-J141,2)-M141)&lt;=0.011,"OK","CHECK")</f>
        <v>OK</v>
      </c>
      <c r="P141" s="4" t="str">
        <f aca="false">IF(ABS(ROUND(M141*21/121,2)-L141)&lt;=0.011,"OK","CHECK")</f>
        <v>OK</v>
      </c>
      <c r="Q141" s="4" t="str">
        <f aca="false">IF(ABS((M141-L141)/G141-K141)&lt;=0.0006,"OK","CHECK")</f>
        <v>OK</v>
      </c>
    </row>
    <row r="142" customFormat="false" ht="15" hidden="false" customHeight="true" outlineLevel="0" collapsed="false">
      <c r="A142" s="4" t="s">
        <v>189</v>
      </c>
      <c r="B142" s="4" t="s">
        <v>107</v>
      </c>
      <c r="C142" s="4" t="s">
        <v>216</v>
      </c>
      <c r="D142" s="4" t="s">
        <v>236</v>
      </c>
      <c r="E142" s="4" t="s">
        <v>8</v>
      </c>
      <c r="F142" s="4" t="s">
        <v>48</v>
      </c>
      <c r="G142" s="5" t="n">
        <v>420</v>
      </c>
      <c r="H142" s="6" t="n">
        <v>2.116</v>
      </c>
      <c r="I142" s="6" t="n">
        <v>0.23</v>
      </c>
      <c r="J142" s="5" t="n">
        <v>96.6</v>
      </c>
      <c r="K142" s="6" t="n">
        <v>1.5587</v>
      </c>
      <c r="L142" s="5" t="n">
        <v>137.48</v>
      </c>
      <c r="M142" s="5" t="n">
        <v>792.12</v>
      </c>
      <c r="N142" s="4" t="str">
        <f aca="false">IF(ABS(G142*I142-J142)&lt;=0.011,"OK","CHECK")</f>
        <v>OK</v>
      </c>
      <c r="O142" s="4" t="str">
        <f aca="false">IF(ABS(ROUND(G142*H142-J142,2)-M142)&lt;=0.011,"OK","CHECK")</f>
        <v>OK</v>
      </c>
      <c r="P142" s="4" t="str">
        <f aca="false">IF(ABS(ROUND(M142*21/121,2)-L142)&lt;=0.011,"OK","CHECK")</f>
        <v>OK</v>
      </c>
      <c r="Q142" s="4" t="str">
        <f aca="false">IF(ABS((M142-L142)/G142-K142)&lt;=0.0006,"OK","CHECK")</f>
        <v>OK</v>
      </c>
    </row>
    <row r="143" customFormat="false" ht="15" hidden="false" customHeight="true" outlineLevel="0" collapsed="false">
      <c r="A143" s="4" t="s">
        <v>189</v>
      </c>
      <c r="B143" s="4" t="s">
        <v>107</v>
      </c>
      <c r="C143" s="4" t="s">
        <v>216</v>
      </c>
      <c r="D143" s="4" t="s">
        <v>237</v>
      </c>
      <c r="E143" s="4" t="s">
        <v>8</v>
      </c>
      <c r="F143" s="4" t="s">
        <v>50</v>
      </c>
      <c r="G143" s="5" t="n">
        <v>34.05</v>
      </c>
      <c r="H143" s="6" t="n">
        <v>1.0237</v>
      </c>
      <c r="I143" s="6" t="n">
        <v>0.22</v>
      </c>
      <c r="J143" s="5" t="n">
        <v>7.49</v>
      </c>
      <c r="K143" s="6" t="n">
        <v>0.6643</v>
      </c>
      <c r="L143" s="5" t="n">
        <v>4.75</v>
      </c>
      <c r="M143" s="5" t="n">
        <v>27.37</v>
      </c>
      <c r="N143" s="4" t="str">
        <f aca="false">IF(ABS(G143*I143-J143)&lt;=0.011,"OK","CHECK")</f>
        <v>OK</v>
      </c>
      <c r="O143" s="4" t="str">
        <f aca="false">IF(ABS(ROUND(G143*H143-J143,2)-M143)&lt;=0.011,"OK","CHECK")</f>
        <v>OK</v>
      </c>
      <c r="P143" s="4" t="str">
        <f aca="false">IF(ABS(ROUND(M143*21/121,2)-L143)&lt;=0.011,"OK","CHECK")</f>
        <v>OK</v>
      </c>
      <c r="Q143" s="4" t="str">
        <f aca="false">IF(ABS((M143-L143)/G143-K143)&lt;=0.0006,"OK","CHECK")</f>
        <v>OK</v>
      </c>
    </row>
    <row r="144" customFormat="false" ht="15" hidden="false" customHeight="true" outlineLevel="0" collapsed="false">
      <c r="A144" s="4" t="s">
        <v>189</v>
      </c>
      <c r="B144" s="4" t="s">
        <v>107</v>
      </c>
      <c r="C144" s="4" t="s">
        <v>194</v>
      </c>
      <c r="D144" s="4" t="s">
        <v>238</v>
      </c>
      <c r="E144" s="4" t="s">
        <v>8</v>
      </c>
      <c r="F144" s="4" t="s">
        <v>48</v>
      </c>
      <c r="G144" s="5" t="n">
        <v>300.01</v>
      </c>
      <c r="H144" s="6" t="n">
        <v>2.141</v>
      </c>
      <c r="I144" s="6" t="n">
        <v>0.23</v>
      </c>
      <c r="J144" s="5" t="n">
        <v>69</v>
      </c>
      <c r="K144" s="6" t="n">
        <v>1.5793</v>
      </c>
      <c r="L144" s="5" t="n">
        <v>99.5</v>
      </c>
      <c r="M144" s="5" t="n">
        <v>573.32</v>
      </c>
      <c r="N144" s="4" t="str">
        <f aca="false">IF(ABS(G144*I144-J144)&lt;=0.011,"OK","CHECK")</f>
        <v>OK</v>
      </c>
      <c r="O144" s="4" t="str">
        <f aca="false">IF(ABS(ROUND(G144*H144-J144,2)-M144)&lt;=0.011,"OK","CHECK")</f>
        <v>OK</v>
      </c>
      <c r="P144" s="4" t="str">
        <f aca="false">IF(ABS(ROUND(M144*21/121,2)-L144)&lt;=0.011,"OK","CHECK")</f>
        <v>OK</v>
      </c>
      <c r="Q144" s="4" t="str">
        <f aca="false">IF(ABS((M144-L144)/G144-K144)&lt;=0.0006,"OK","CHECK")</f>
        <v>OK</v>
      </c>
    </row>
    <row r="145" customFormat="false" ht="15" hidden="false" customHeight="true" outlineLevel="0" collapsed="false">
      <c r="A145" s="4" t="s">
        <v>189</v>
      </c>
      <c r="B145" s="4" t="s">
        <v>107</v>
      </c>
      <c r="C145" s="4" t="s">
        <v>194</v>
      </c>
      <c r="D145" s="4" t="s">
        <v>239</v>
      </c>
      <c r="E145" s="4" t="s">
        <v>8</v>
      </c>
      <c r="F145" s="4" t="s">
        <v>50</v>
      </c>
      <c r="G145" s="5" t="n">
        <v>23.01</v>
      </c>
      <c r="H145" s="6" t="n">
        <v>1.0237</v>
      </c>
      <c r="I145" s="6" t="n">
        <v>0.22</v>
      </c>
      <c r="J145" s="5" t="n">
        <v>5.06</v>
      </c>
      <c r="K145" s="6" t="n">
        <v>0.6645</v>
      </c>
      <c r="L145" s="5" t="n">
        <v>3.21</v>
      </c>
      <c r="M145" s="5" t="n">
        <v>18.5</v>
      </c>
      <c r="N145" s="4" t="str">
        <f aca="false">IF(ABS(G145*I145-J145)&lt;=0.011,"OK","CHECK")</f>
        <v>OK</v>
      </c>
      <c r="O145" s="4" t="str">
        <f aca="false">IF(ABS(ROUND(G145*H145-J145,2)-M145)&lt;=0.011,"OK","CHECK")</f>
        <v>OK</v>
      </c>
      <c r="P145" s="4" t="str">
        <f aca="false">IF(ABS(ROUND(M145*21/121,2)-L145)&lt;=0.011,"OK","CHECK")</f>
        <v>OK</v>
      </c>
      <c r="Q145" s="4" t="str">
        <f aca="false">IF(ABS((M145-L145)/G145-K145)&lt;=0.0006,"OK","CHECK")</f>
        <v>OK</v>
      </c>
    </row>
    <row r="146" customFormat="false" ht="15" hidden="false" customHeight="true" outlineLevel="0" collapsed="false">
      <c r="A146" s="4" t="s">
        <v>189</v>
      </c>
      <c r="B146" s="4" t="s">
        <v>107</v>
      </c>
      <c r="C146" s="4" t="s">
        <v>232</v>
      </c>
      <c r="D146" s="4" t="s">
        <v>240</v>
      </c>
      <c r="E146" s="4" t="s">
        <v>8</v>
      </c>
      <c r="F146" s="4" t="s">
        <v>48</v>
      </c>
      <c r="G146" s="5" t="n">
        <v>675.02</v>
      </c>
      <c r="H146" s="6" t="n">
        <v>2.141</v>
      </c>
      <c r="I146" s="6" t="n">
        <v>0.23</v>
      </c>
      <c r="J146" s="5" t="n">
        <v>155.25</v>
      </c>
      <c r="K146" s="6" t="n">
        <v>1.5793</v>
      </c>
      <c r="L146" s="5" t="n">
        <v>223.88</v>
      </c>
      <c r="M146" s="5" t="n">
        <v>1289.97</v>
      </c>
      <c r="N146" s="4" t="str">
        <f aca="false">IF(ABS(G146*I146-J146)&lt;=0.011,"OK","CHECK")</f>
        <v>OK</v>
      </c>
      <c r="O146" s="4" t="str">
        <f aca="false">IF(ABS(ROUND(G146*H146-J146,2)-M146)&lt;=0.011,"OK","CHECK")</f>
        <v>OK</v>
      </c>
      <c r="P146" s="4" t="str">
        <f aca="false">IF(ABS(ROUND(M146*21/121,2)-L146)&lt;=0.011,"OK","CHECK")</f>
        <v>OK</v>
      </c>
      <c r="Q146" s="4" t="str">
        <f aca="false">IF(ABS((M146-L146)/G146-K146)&lt;=0.0006,"OK","CHECK")</f>
        <v>OK</v>
      </c>
    </row>
    <row r="147" customFormat="false" ht="15" hidden="false" customHeight="true" outlineLevel="0" collapsed="false">
      <c r="A147" s="4" t="s">
        <v>189</v>
      </c>
      <c r="B147" s="4" t="s">
        <v>107</v>
      </c>
      <c r="C147" s="4" t="s">
        <v>232</v>
      </c>
      <c r="D147" s="4" t="s">
        <v>241</v>
      </c>
      <c r="E147" s="4" t="s">
        <v>8</v>
      </c>
      <c r="F147" s="4" t="s">
        <v>50</v>
      </c>
      <c r="G147" s="5" t="n">
        <v>50</v>
      </c>
      <c r="H147" s="6" t="n">
        <v>1.0237</v>
      </c>
      <c r="I147" s="6" t="n">
        <v>0.22</v>
      </c>
      <c r="J147" s="5" t="n">
        <v>11</v>
      </c>
      <c r="K147" s="6" t="n">
        <v>0.6642</v>
      </c>
      <c r="L147" s="5" t="n">
        <v>6.98</v>
      </c>
      <c r="M147" s="5" t="n">
        <v>40.19</v>
      </c>
      <c r="N147" s="4" t="str">
        <f aca="false">IF(ABS(G147*I147-J147)&lt;=0.011,"OK","CHECK")</f>
        <v>OK</v>
      </c>
      <c r="O147" s="4" t="str">
        <f aca="false">IF(ABS(ROUND(G147*H147-J147,2)-M147)&lt;=0.011,"OK","CHECK")</f>
        <v>OK</v>
      </c>
      <c r="P147" s="4" t="str">
        <f aca="false">IF(ABS(ROUND(M147*21/121,2)-L147)&lt;=0.011,"OK","CHECK")</f>
        <v>OK</v>
      </c>
      <c r="Q147" s="4" t="str">
        <f aca="false">IF(ABS((M147-L147)/G147-K147)&lt;=0.0006,"OK","CHECK")</f>
        <v>OK</v>
      </c>
    </row>
    <row r="148" customFormat="false" ht="15" hidden="false" customHeight="true" outlineLevel="0" collapsed="false">
      <c r="A148" s="4" t="s">
        <v>189</v>
      </c>
      <c r="B148" s="4" t="s">
        <v>120</v>
      </c>
      <c r="C148" s="4" t="s">
        <v>200</v>
      </c>
      <c r="D148" s="4" t="s">
        <v>242</v>
      </c>
      <c r="E148" s="4" t="s">
        <v>8</v>
      </c>
      <c r="F148" s="4" t="s">
        <v>48</v>
      </c>
      <c r="G148" s="5" t="n">
        <v>460</v>
      </c>
      <c r="H148" s="6" t="n">
        <v>2.116</v>
      </c>
      <c r="I148" s="6" t="n">
        <v>0.23</v>
      </c>
      <c r="J148" s="5" t="n">
        <v>105.8</v>
      </c>
      <c r="K148" s="6" t="n">
        <v>1.5587</v>
      </c>
      <c r="L148" s="5" t="n">
        <v>150.57</v>
      </c>
      <c r="M148" s="5" t="n">
        <v>867.56</v>
      </c>
      <c r="N148" s="4" t="str">
        <f aca="false">IF(ABS(G148*I148-J148)&lt;=0.011,"OK","CHECK")</f>
        <v>OK</v>
      </c>
      <c r="O148" s="4" t="str">
        <f aca="false">IF(ABS(ROUND(G148*H148-J148,2)-M148)&lt;=0.011,"OK","CHECK")</f>
        <v>OK</v>
      </c>
      <c r="P148" s="4" t="str">
        <f aca="false">IF(ABS(ROUND(M148*21/121,2)-L148)&lt;=0.011,"OK","CHECK")</f>
        <v>OK</v>
      </c>
      <c r="Q148" s="4" t="str">
        <f aca="false">IF(ABS((M148-L148)/G148-K148)&lt;=0.0006,"OK","CHECK")</f>
        <v>OK</v>
      </c>
    </row>
    <row r="149" customFormat="false" ht="15" hidden="false" customHeight="true" outlineLevel="0" collapsed="false">
      <c r="A149" s="4" t="s">
        <v>189</v>
      </c>
      <c r="B149" s="4" t="s">
        <v>120</v>
      </c>
      <c r="C149" s="4" t="s">
        <v>200</v>
      </c>
      <c r="D149" s="4" t="s">
        <v>86</v>
      </c>
      <c r="E149" s="4" t="s">
        <v>8</v>
      </c>
      <c r="F149" s="4" t="s">
        <v>50</v>
      </c>
      <c r="G149" s="5" t="n">
        <v>29.01</v>
      </c>
      <c r="H149" s="6" t="n">
        <v>1.0237</v>
      </c>
      <c r="I149" s="6" t="n">
        <v>0.22</v>
      </c>
      <c r="J149" s="5" t="n">
        <v>6.38</v>
      </c>
      <c r="K149" s="6" t="n">
        <v>0.6643</v>
      </c>
      <c r="L149" s="5" t="n">
        <v>4.05</v>
      </c>
      <c r="M149" s="5" t="n">
        <v>23.32</v>
      </c>
      <c r="N149" s="4" t="str">
        <f aca="false">IF(ABS(G149*I149-J149)&lt;=0.011,"OK","CHECK")</f>
        <v>OK</v>
      </c>
      <c r="O149" s="4" t="str">
        <f aca="false">IF(ABS(ROUND(G149*H149-J149,2)-M149)&lt;=0.011,"OK","CHECK")</f>
        <v>OK</v>
      </c>
      <c r="P149" s="4" t="str">
        <f aca="false">IF(ABS(ROUND(M149*21/121,2)-L149)&lt;=0.011,"OK","CHECK")</f>
        <v>OK</v>
      </c>
      <c r="Q149" s="4" t="str">
        <f aca="false">IF(ABS((M149-L149)/G149-K149)&lt;=0.0006,"OK","CHECK")</f>
        <v>OK</v>
      </c>
    </row>
    <row r="150" customFormat="false" ht="15" hidden="false" customHeight="true" outlineLevel="0" collapsed="false">
      <c r="A150" s="4" t="s">
        <v>189</v>
      </c>
      <c r="B150" s="4" t="s">
        <v>120</v>
      </c>
      <c r="C150" s="4" t="s">
        <v>219</v>
      </c>
      <c r="D150" s="4" t="s">
        <v>243</v>
      </c>
      <c r="E150" s="4" t="s">
        <v>8</v>
      </c>
      <c r="F150" s="4" t="s">
        <v>48</v>
      </c>
      <c r="G150" s="5" t="n">
        <v>746</v>
      </c>
      <c r="H150" s="6" t="n">
        <v>2.141</v>
      </c>
      <c r="I150" s="6" t="n">
        <v>0.23</v>
      </c>
      <c r="J150" s="5" t="n">
        <v>171.58</v>
      </c>
      <c r="K150" s="6" t="n">
        <v>1.5793</v>
      </c>
      <c r="L150" s="5" t="n">
        <v>247.42</v>
      </c>
      <c r="M150" s="5" t="n">
        <v>1425.61</v>
      </c>
      <c r="N150" s="4" t="str">
        <f aca="false">IF(ABS(G150*I150-J150)&lt;=0.011,"OK","CHECK")</f>
        <v>OK</v>
      </c>
      <c r="O150" s="4" t="str">
        <f aca="false">IF(ABS(ROUND(G150*H150-J150,2)-M150)&lt;=0.011,"OK","CHECK")</f>
        <v>OK</v>
      </c>
      <c r="P150" s="4" t="str">
        <f aca="false">IF(ABS(ROUND(M150*21/121,2)-L150)&lt;=0.011,"OK","CHECK")</f>
        <v>OK</v>
      </c>
      <c r="Q150" s="4" t="str">
        <f aca="false">IF(ABS((M150-L150)/G150-K150)&lt;=0.0006,"OK","CHECK")</f>
        <v>OK</v>
      </c>
    </row>
    <row r="151" customFormat="false" ht="15" hidden="false" customHeight="true" outlineLevel="0" collapsed="false">
      <c r="A151" s="4" t="s">
        <v>189</v>
      </c>
      <c r="B151" s="4" t="s">
        <v>120</v>
      </c>
      <c r="C151" s="4" t="s">
        <v>219</v>
      </c>
      <c r="D151" s="4" t="s">
        <v>244</v>
      </c>
      <c r="E151" s="4" t="s">
        <v>8</v>
      </c>
      <c r="F151" s="4" t="s">
        <v>48</v>
      </c>
      <c r="G151" s="5" t="n">
        <v>70</v>
      </c>
      <c r="H151" s="6" t="n">
        <v>2.141</v>
      </c>
      <c r="I151" s="6" t="n">
        <v>0.23</v>
      </c>
      <c r="J151" s="5" t="n">
        <v>16.1</v>
      </c>
      <c r="K151" s="6" t="n">
        <v>1.5793</v>
      </c>
      <c r="L151" s="5" t="n">
        <v>23.22</v>
      </c>
      <c r="M151" s="5" t="n">
        <v>133.77</v>
      </c>
      <c r="N151" s="4" t="str">
        <f aca="false">IF(ABS(G151*I151-J151)&lt;=0.011,"OK","CHECK")</f>
        <v>OK</v>
      </c>
      <c r="O151" s="4" t="str">
        <f aca="false">IF(ABS(ROUND(G151*H151-J151,2)-M151)&lt;=0.011,"OK","CHECK")</f>
        <v>OK</v>
      </c>
      <c r="P151" s="4" t="str">
        <f aca="false">IF(ABS(ROUND(M151*21/121,2)-L151)&lt;=0.011,"OK","CHECK")</f>
        <v>OK</v>
      </c>
      <c r="Q151" s="4" t="str">
        <f aca="false">IF(ABS((M151-L151)/G151-K151)&lt;=0.0006,"OK","CHECK")</f>
        <v>OK</v>
      </c>
    </row>
    <row r="152" customFormat="false" ht="15" hidden="false" customHeight="true" outlineLevel="0" collapsed="false">
      <c r="A152" s="4" t="s">
        <v>189</v>
      </c>
      <c r="B152" s="4" t="s">
        <v>120</v>
      </c>
      <c r="C152" s="4" t="s">
        <v>219</v>
      </c>
      <c r="D152" s="4" t="s">
        <v>245</v>
      </c>
      <c r="E152" s="4" t="s">
        <v>8</v>
      </c>
      <c r="F152" s="4" t="s">
        <v>50</v>
      </c>
      <c r="G152" s="5" t="n">
        <v>53</v>
      </c>
      <c r="H152" s="6" t="n">
        <v>1.0237</v>
      </c>
      <c r="I152" s="6" t="n">
        <v>0.22</v>
      </c>
      <c r="J152" s="5" t="n">
        <v>11.66</v>
      </c>
      <c r="K152" s="6" t="n">
        <v>0.6643</v>
      </c>
      <c r="L152" s="5" t="n">
        <v>7.39</v>
      </c>
      <c r="M152" s="5" t="n">
        <v>42.6</v>
      </c>
      <c r="N152" s="4" t="str">
        <f aca="false">IF(ABS(G152*I152-J152)&lt;=0.011,"OK","CHECK")</f>
        <v>OK</v>
      </c>
      <c r="O152" s="4" t="str">
        <f aca="false">IF(ABS(ROUND(G152*H152-J152,2)-M152)&lt;=0.011,"OK","CHECK")</f>
        <v>OK</v>
      </c>
      <c r="P152" s="4" t="str">
        <f aca="false">IF(ABS(ROUND(M152*21/121,2)-L152)&lt;=0.011,"OK","CHECK")</f>
        <v>OK</v>
      </c>
      <c r="Q152" s="4" t="str">
        <f aca="false">IF(ABS((M152-L152)/G152-K152)&lt;=0.0006,"OK","CHECK")</f>
        <v>OK</v>
      </c>
    </row>
    <row r="153" customFormat="false" ht="15" hidden="false" customHeight="true" outlineLevel="0" collapsed="false">
      <c r="A153" s="4" t="s">
        <v>189</v>
      </c>
      <c r="B153" s="4" t="s">
        <v>120</v>
      </c>
      <c r="C153" s="4" t="s">
        <v>212</v>
      </c>
      <c r="D153" s="4" t="s">
        <v>246</v>
      </c>
      <c r="E153" s="4" t="s">
        <v>12</v>
      </c>
      <c r="F153" s="4" t="s">
        <v>48</v>
      </c>
      <c r="G153" s="5" t="n">
        <v>220</v>
      </c>
      <c r="H153" s="6" t="n">
        <v>2.038</v>
      </c>
      <c r="I153" s="6" t="n">
        <v>0.23</v>
      </c>
      <c r="J153" s="5" t="n">
        <v>50.6</v>
      </c>
      <c r="K153" s="6" t="n">
        <v>1.4942</v>
      </c>
      <c r="L153" s="5" t="n">
        <v>69.03</v>
      </c>
      <c r="M153" s="5" t="n">
        <v>397.76</v>
      </c>
      <c r="N153" s="4" t="str">
        <f aca="false">IF(ABS(G153*I153-J153)&lt;=0.011,"OK","CHECK")</f>
        <v>OK</v>
      </c>
      <c r="O153" s="4" t="str">
        <f aca="false">IF(ABS(ROUND(G153*H153-J153,2)-M153)&lt;=0.011,"OK","CHECK")</f>
        <v>OK</v>
      </c>
      <c r="P153" s="4" t="str">
        <f aca="false">IF(ABS(ROUND(M153*21/121,2)-L153)&lt;=0.011,"OK","CHECK")</f>
        <v>OK</v>
      </c>
      <c r="Q153" s="4" t="str">
        <f aca="false">IF(ABS((M153-L153)/G153-K153)&lt;=0.0006,"OK","CHECK")</f>
        <v>OK</v>
      </c>
    </row>
    <row r="154" customFormat="false" ht="15" hidden="false" customHeight="true" outlineLevel="0" collapsed="false">
      <c r="A154" s="4" t="s">
        <v>189</v>
      </c>
      <c r="B154" s="4" t="s">
        <v>120</v>
      </c>
      <c r="C154" s="4" t="s">
        <v>212</v>
      </c>
      <c r="D154" s="4" t="s">
        <v>247</v>
      </c>
      <c r="E154" s="4" t="s">
        <v>12</v>
      </c>
      <c r="F154" s="4" t="s">
        <v>50</v>
      </c>
      <c r="G154" s="5" t="n">
        <v>40.02</v>
      </c>
      <c r="H154" s="6" t="n">
        <v>1.4738</v>
      </c>
      <c r="I154" s="6" t="n">
        <v>0.6</v>
      </c>
      <c r="J154" s="5" t="n">
        <v>24.01</v>
      </c>
      <c r="K154" s="6" t="n">
        <v>0.7221</v>
      </c>
      <c r="L154" s="5" t="n">
        <v>6.07</v>
      </c>
      <c r="M154" s="5" t="n">
        <v>34.97</v>
      </c>
      <c r="N154" s="4" t="str">
        <f aca="false">IF(ABS(G154*I154-J154)&lt;=0.011,"OK","CHECK")</f>
        <v>OK</v>
      </c>
      <c r="O154" s="4" t="str">
        <f aca="false">IF(ABS(ROUND(G154*H154-J154,2)-M154)&lt;=0.011,"OK","CHECK")</f>
        <v>OK</v>
      </c>
      <c r="P154" s="4" t="str">
        <f aca="false">IF(ABS(ROUND(M154*21/121,2)-L154)&lt;=0.011,"OK","CHECK")</f>
        <v>OK</v>
      </c>
      <c r="Q154" s="4" t="str">
        <f aca="false">IF(ABS((M154-L154)/G154-K154)&lt;=0.0006,"OK","CHECK")</f>
        <v>OK</v>
      </c>
    </row>
    <row r="155" customFormat="false" ht="15" hidden="false" customHeight="true" outlineLevel="0" collapsed="false">
      <c r="A155" s="4" t="s">
        <v>189</v>
      </c>
      <c r="B155" s="4" t="s">
        <v>120</v>
      </c>
      <c r="C155" s="4" t="s">
        <v>212</v>
      </c>
      <c r="D155" s="4" t="s">
        <v>248</v>
      </c>
      <c r="E155" s="4" t="s">
        <v>12</v>
      </c>
      <c r="F155" s="4" t="s">
        <v>48</v>
      </c>
      <c r="G155" s="5" t="n">
        <v>350</v>
      </c>
      <c r="H155" s="6" t="n">
        <v>2.038</v>
      </c>
      <c r="I155" s="6" t="n">
        <v>0.23</v>
      </c>
      <c r="J155" s="5" t="n">
        <v>80.5</v>
      </c>
      <c r="K155" s="6" t="n">
        <v>1.4942</v>
      </c>
      <c r="L155" s="5" t="n">
        <v>109.82</v>
      </c>
      <c r="M155" s="5" t="n">
        <v>632.8</v>
      </c>
      <c r="N155" s="4" t="str">
        <f aca="false">IF(ABS(G155*I155-J155)&lt;=0.011,"OK","CHECK")</f>
        <v>OK</v>
      </c>
      <c r="O155" s="4" t="str">
        <f aca="false">IF(ABS(ROUND(G155*H155-J155,2)-M155)&lt;=0.011,"OK","CHECK")</f>
        <v>OK</v>
      </c>
      <c r="P155" s="4" t="str">
        <f aca="false">IF(ABS(ROUND(M155*21/121,2)-L155)&lt;=0.011,"OK","CHECK")</f>
        <v>OK</v>
      </c>
      <c r="Q155" s="4" t="str">
        <f aca="false">IF(ABS((M155-L155)/G155-K155)&lt;=0.0006,"OK","CHECK")</f>
        <v>OK</v>
      </c>
    </row>
    <row r="156" customFormat="false" ht="15" hidden="false" customHeight="true" outlineLevel="0" collapsed="false">
      <c r="A156" s="4" t="s">
        <v>189</v>
      </c>
      <c r="B156" s="4" t="s">
        <v>123</v>
      </c>
      <c r="C156" s="4" t="s">
        <v>190</v>
      </c>
      <c r="D156" s="4" t="s">
        <v>249</v>
      </c>
      <c r="E156" s="4" t="s">
        <v>8</v>
      </c>
      <c r="F156" s="4" t="s">
        <v>48</v>
      </c>
      <c r="G156" s="5" t="n">
        <v>413.95</v>
      </c>
      <c r="H156" s="6" t="n">
        <v>2.116</v>
      </c>
      <c r="I156" s="6" t="n">
        <v>0.23</v>
      </c>
      <c r="J156" s="5" t="n">
        <v>95.21</v>
      </c>
      <c r="K156" s="6" t="n">
        <v>1.5587</v>
      </c>
      <c r="L156" s="5" t="n">
        <v>135.5</v>
      </c>
      <c r="M156" s="5" t="n">
        <v>780.71</v>
      </c>
      <c r="N156" s="4" t="str">
        <f aca="false">IF(ABS(G156*I156-J156)&lt;=0.011,"OK","CHECK")</f>
        <v>OK</v>
      </c>
      <c r="O156" s="4" t="str">
        <f aca="false">IF(ABS(ROUND(G156*H156-J156,2)-M156)&lt;=0.011,"OK","CHECK")</f>
        <v>OK</v>
      </c>
      <c r="P156" s="4" t="str">
        <f aca="false">IF(ABS(ROUND(M156*21/121,2)-L156)&lt;=0.011,"OK","CHECK")</f>
        <v>OK</v>
      </c>
      <c r="Q156" s="4" t="str">
        <f aca="false">IF(ABS((M156-L156)/G156-K156)&lt;=0.0006,"OK","CHECK")</f>
        <v>OK</v>
      </c>
    </row>
    <row r="157" customFormat="false" ht="15" hidden="false" customHeight="true" outlineLevel="0" collapsed="false">
      <c r="A157" s="4" t="s">
        <v>189</v>
      </c>
      <c r="B157" s="4" t="s">
        <v>123</v>
      </c>
      <c r="C157" s="4" t="s">
        <v>190</v>
      </c>
      <c r="D157" s="4" t="s">
        <v>250</v>
      </c>
      <c r="E157" s="4" t="s">
        <v>8</v>
      </c>
      <c r="F157" s="4" t="s">
        <v>48</v>
      </c>
      <c r="G157" s="5" t="n">
        <v>178.54</v>
      </c>
      <c r="H157" s="6" t="n">
        <v>2.116</v>
      </c>
      <c r="I157" s="6" t="n">
        <v>0.23</v>
      </c>
      <c r="J157" s="5" t="n">
        <v>41.06</v>
      </c>
      <c r="K157" s="6" t="n">
        <v>1.5587</v>
      </c>
      <c r="L157" s="5" t="n">
        <v>58.44</v>
      </c>
      <c r="M157" s="5" t="n">
        <v>336.73</v>
      </c>
      <c r="N157" s="4" t="str">
        <f aca="false">IF(ABS(G157*I157-J157)&lt;=0.011,"OK","CHECK")</f>
        <v>OK</v>
      </c>
      <c r="O157" s="4" t="str">
        <f aca="false">IF(ABS(ROUND(G157*H157-J157,2)-M157)&lt;=0.011,"OK","CHECK")</f>
        <v>OK</v>
      </c>
      <c r="P157" s="4" t="str">
        <f aca="false">IF(ABS(ROUND(M157*21/121,2)-L157)&lt;=0.011,"OK","CHECK")</f>
        <v>OK</v>
      </c>
      <c r="Q157" s="4" t="str">
        <f aca="false">IF(ABS((M157-L157)/G157-K157)&lt;=0.0006,"OK","CHECK")</f>
        <v>OK</v>
      </c>
    </row>
    <row r="158" customFormat="false" ht="15" hidden="false" customHeight="true" outlineLevel="0" collapsed="false">
      <c r="A158" s="4" t="s">
        <v>189</v>
      </c>
      <c r="B158" s="4" t="s">
        <v>123</v>
      </c>
      <c r="C158" s="4" t="s">
        <v>190</v>
      </c>
      <c r="D158" s="4" t="s">
        <v>251</v>
      </c>
      <c r="E158" s="4" t="s">
        <v>8</v>
      </c>
      <c r="F158" s="4" t="s">
        <v>50</v>
      </c>
      <c r="G158" s="5" t="n">
        <v>76.63</v>
      </c>
      <c r="H158" s="6" t="n">
        <v>1.0237</v>
      </c>
      <c r="I158" s="6" t="n">
        <v>0.22</v>
      </c>
      <c r="J158" s="5" t="n">
        <v>16.86</v>
      </c>
      <c r="K158" s="6" t="n">
        <v>0.6642</v>
      </c>
      <c r="L158" s="5" t="n">
        <v>10.69</v>
      </c>
      <c r="M158" s="5" t="n">
        <v>61.59</v>
      </c>
      <c r="N158" s="4" t="str">
        <f aca="false">IF(ABS(G158*I158-J158)&lt;=0.011,"OK","CHECK")</f>
        <v>OK</v>
      </c>
      <c r="O158" s="4" t="str">
        <f aca="false">IF(ABS(ROUND(G158*H158-J158,2)-M158)&lt;=0.011,"OK","CHECK")</f>
        <v>OK</v>
      </c>
      <c r="P158" s="4" t="str">
        <f aca="false">IF(ABS(ROUND(M158*21/121,2)-L158)&lt;=0.011,"OK","CHECK")</f>
        <v>OK</v>
      </c>
      <c r="Q158" s="4" t="str">
        <f aca="false">IF(ABS((M158-L158)/G158-K158)&lt;=0.0006,"OK","CHECK")</f>
        <v>OK</v>
      </c>
    </row>
    <row r="159" customFormat="false" ht="15" hidden="false" customHeight="true" outlineLevel="0" collapsed="false">
      <c r="A159" s="4" t="s">
        <v>189</v>
      </c>
      <c r="B159" s="4" t="s">
        <v>123</v>
      </c>
      <c r="C159" s="4" t="s">
        <v>190</v>
      </c>
      <c r="D159" s="4" t="s">
        <v>252</v>
      </c>
      <c r="E159" s="4" t="s">
        <v>8</v>
      </c>
      <c r="F159" s="4" t="s">
        <v>48</v>
      </c>
      <c r="G159" s="5" t="n">
        <v>66.52</v>
      </c>
      <c r="H159" s="6" t="n">
        <v>2.116</v>
      </c>
      <c r="I159" s="6" t="n">
        <v>0.23</v>
      </c>
      <c r="J159" s="5" t="n">
        <v>15.3</v>
      </c>
      <c r="K159" s="6" t="n">
        <v>1.5588</v>
      </c>
      <c r="L159" s="5" t="n">
        <v>21.77</v>
      </c>
      <c r="M159" s="5" t="n">
        <v>125.46</v>
      </c>
      <c r="N159" s="4" t="str">
        <f aca="false">IF(ABS(G159*I159-J159)&lt;=0.011,"OK","CHECK")</f>
        <v>OK</v>
      </c>
      <c r="O159" s="4" t="str">
        <f aca="false">IF(ABS(ROUND(G159*H159-J159,2)-M159)&lt;=0.011,"OK","CHECK")</f>
        <v>OK</v>
      </c>
      <c r="P159" s="4" t="str">
        <f aca="false">IF(ABS(ROUND(M159*21/121,2)-L159)&lt;=0.011,"OK","CHECK")</f>
        <v>OK</v>
      </c>
      <c r="Q159" s="4" t="str">
        <f aca="false">IF(ABS((M159-L159)/G159-K159)&lt;=0.0006,"OK","CHECK")</f>
        <v>OK</v>
      </c>
    </row>
    <row r="160" customFormat="false" ht="15" hidden="false" customHeight="true" outlineLevel="0" collapsed="false">
      <c r="A160" s="4" t="s">
        <v>189</v>
      </c>
      <c r="B160" s="4" t="s">
        <v>126</v>
      </c>
      <c r="C160" s="4" t="s">
        <v>190</v>
      </c>
      <c r="D160" s="4" t="s">
        <v>251</v>
      </c>
      <c r="E160" s="4" t="s">
        <v>13</v>
      </c>
      <c r="F160" s="4" t="s">
        <v>48</v>
      </c>
      <c r="G160" s="5" t="n">
        <v>133.6</v>
      </c>
      <c r="H160" s="6" t="n">
        <v>2.116</v>
      </c>
      <c r="I160" s="6" t="n">
        <v>0.105</v>
      </c>
      <c r="J160" s="5" t="n">
        <v>14.03</v>
      </c>
      <c r="K160" s="6" t="n">
        <v>1.662</v>
      </c>
      <c r="L160" s="5" t="n">
        <v>46.63</v>
      </c>
      <c r="M160" s="5" t="n">
        <v>268.67</v>
      </c>
      <c r="N160" s="4" t="str">
        <f aca="false">IF(ABS(G160*I160-J160)&lt;=0.011,"OK","CHECK")</f>
        <v>OK</v>
      </c>
      <c r="O160" s="4" t="str">
        <f aca="false">IF(ABS(ROUND(G160*H160-J160,2)-M160)&lt;=0.011,"OK","CHECK")</f>
        <v>OK</v>
      </c>
      <c r="P160" s="4" t="str">
        <f aca="false">IF(ABS(ROUND(M160*21/121,2)-L160)&lt;=0.011,"OK","CHECK")</f>
        <v>OK</v>
      </c>
      <c r="Q160" s="4" t="str">
        <f aca="false">IF(ABS((M160-L160)/G160-K160)&lt;=0.0006,"OK","CHECK")</f>
        <v>OK</v>
      </c>
    </row>
    <row r="161" customFormat="false" ht="15" hidden="false" customHeight="true" outlineLevel="0" collapsed="false">
      <c r="A161" s="4" t="s">
        <v>189</v>
      </c>
      <c r="B161" s="4" t="s">
        <v>126</v>
      </c>
      <c r="C161" s="4" t="s">
        <v>190</v>
      </c>
      <c r="D161" s="4" t="s">
        <v>253</v>
      </c>
      <c r="E161" s="4" t="s">
        <v>13</v>
      </c>
      <c r="F161" s="4" t="s">
        <v>48</v>
      </c>
      <c r="G161" s="5" t="n">
        <v>195.65</v>
      </c>
      <c r="H161" s="6" t="n">
        <v>2.116</v>
      </c>
      <c r="I161" s="6" t="n">
        <v>0.105</v>
      </c>
      <c r="J161" s="5" t="n">
        <v>20.54</v>
      </c>
      <c r="K161" s="6" t="n">
        <v>1.662</v>
      </c>
      <c r="L161" s="5" t="n">
        <v>68.29</v>
      </c>
      <c r="M161" s="5" t="n">
        <v>393.46</v>
      </c>
      <c r="N161" s="4" t="str">
        <f aca="false">IF(ABS(G161*I161-J161)&lt;=0.011,"OK","CHECK")</f>
        <v>OK</v>
      </c>
      <c r="O161" s="4" t="str">
        <f aca="false">IF(ABS(ROUND(G161*H161-J161,2)-M161)&lt;=0.011,"OK","CHECK")</f>
        <v>OK</v>
      </c>
      <c r="P161" s="4" t="str">
        <f aca="false">IF(ABS(ROUND(M161*21/121,2)-L161)&lt;=0.011,"OK","CHECK")</f>
        <v>OK</v>
      </c>
      <c r="Q161" s="4" t="str">
        <f aca="false">IF(ABS((M161-L161)/G161-K161)&lt;=0.0006,"OK","CHECK")</f>
        <v>OK</v>
      </c>
    </row>
    <row r="162" customFormat="false" ht="15" hidden="false" customHeight="true" outlineLevel="0" collapsed="false">
      <c r="A162" s="4" t="s">
        <v>189</v>
      </c>
      <c r="B162" s="4" t="s">
        <v>126</v>
      </c>
      <c r="C162" s="4" t="s">
        <v>190</v>
      </c>
      <c r="D162" s="4" t="s">
        <v>254</v>
      </c>
      <c r="E162" s="4" t="s">
        <v>13</v>
      </c>
      <c r="F162" s="4" t="s">
        <v>50</v>
      </c>
      <c r="G162" s="5" t="n">
        <v>17.64</v>
      </c>
      <c r="H162" s="6" t="n">
        <v>1.0237</v>
      </c>
      <c r="I162" s="6" t="n">
        <v>0.22</v>
      </c>
      <c r="J162" s="5" t="n">
        <v>3.88</v>
      </c>
      <c r="K162" s="6" t="n">
        <v>0.6644</v>
      </c>
      <c r="L162" s="5" t="n">
        <v>2.46</v>
      </c>
      <c r="M162" s="5" t="n">
        <v>14.18</v>
      </c>
      <c r="N162" s="4" t="str">
        <f aca="false">IF(ABS(G162*I162-J162)&lt;=0.011,"OK","CHECK")</f>
        <v>OK</v>
      </c>
      <c r="O162" s="4" t="str">
        <f aca="false">IF(ABS(ROUND(G162*H162-J162,2)-M162)&lt;=0.011,"OK","CHECK")</f>
        <v>OK</v>
      </c>
      <c r="P162" s="4" t="str">
        <f aca="false">IF(ABS(ROUND(M162*21/121,2)-L162)&lt;=0.011,"OK","CHECK")</f>
        <v>OK</v>
      </c>
      <c r="Q162" s="4" t="str">
        <f aca="false">IF(ABS((M162-L162)/G162-K162)&lt;=0.0006,"OK","CHECK")</f>
        <v>OK</v>
      </c>
    </row>
    <row r="163" customFormat="false" ht="15" hidden="false" customHeight="true" outlineLevel="0" collapsed="false">
      <c r="A163" s="4" t="s">
        <v>189</v>
      </c>
      <c r="B163" s="4" t="s">
        <v>126</v>
      </c>
      <c r="C163" s="4" t="s">
        <v>232</v>
      </c>
      <c r="D163" s="4" t="s">
        <v>255</v>
      </c>
      <c r="E163" s="4" t="s">
        <v>8</v>
      </c>
      <c r="F163" s="4" t="s">
        <v>50</v>
      </c>
      <c r="G163" s="5" t="n">
        <v>76.48</v>
      </c>
      <c r="H163" s="6" t="n">
        <v>1.0237</v>
      </c>
      <c r="I163" s="6" t="n">
        <v>0.22</v>
      </c>
      <c r="J163" s="5" t="n">
        <v>16.83</v>
      </c>
      <c r="K163" s="6" t="n">
        <v>0.6641</v>
      </c>
      <c r="L163" s="5" t="n">
        <v>10.67</v>
      </c>
      <c r="M163" s="5" t="n">
        <v>61.46</v>
      </c>
      <c r="N163" s="4" t="str">
        <f aca="false">IF(ABS(G163*I163-J163)&lt;=0.011,"OK","CHECK")</f>
        <v>OK</v>
      </c>
      <c r="O163" s="4" t="str">
        <f aca="false">IF(ABS(ROUND(G163*H163-J163,2)-M163)&lt;=0.011,"OK","CHECK")</f>
        <v>OK</v>
      </c>
      <c r="P163" s="4" t="str">
        <f aca="false">IF(ABS(ROUND(M163*21/121,2)-L163)&lt;=0.011,"OK","CHECK")</f>
        <v>OK</v>
      </c>
      <c r="Q163" s="4" t="str">
        <f aca="false">IF(ABS((M163-L163)/G163-K163)&lt;=0.0006,"OK","CHECK")</f>
        <v>OK</v>
      </c>
    </row>
    <row r="164" customFormat="false" ht="15" hidden="false" customHeight="true" outlineLevel="0" collapsed="false">
      <c r="A164" s="4" t="s">
        <v>189</v>
      </c>
      <c r="B164" s="4" t="s">
        <v>126</v>
      </c>
      <c r="C164" s="4" t="s">
        <v>232</v>
      </c>
      <c r="D164" s="4" t="s">
        <v>256</v>
      </c>
      <c r="E164" s="4" t="s">
        <v>8</v>
      </c>
      <c r="F164" s="4" t="s">
        <v>48</v>
      </c>
      <c r="G164" s="5" t="n">
        <v>489.7</v>
      </c>
      <c r="H164" s="6" t="n">
        <v>2.141</v>
      </c>
      <c r="I164" s="6" t="n">
        <v>0.23</v>
      </c>
      <c r="J164" s="5" t="n">
        <v>112.63</v>
      </c>
      <c r="K164" s="6" t="n">
        <v>1.5793</v>
      </c>
      <c r="L164" s="5" t="n">
        <v>162.42</v>
      </c>
      <c r="M164" s="5" t="n">
        <v>935.82</v>
      </c>
      <c r="N164" s="4" t="str">
        <f aca="false">IF(ABS(G164*I164-J164)&lt;=0.011,"OK","CHECK")</f>
        <v>OK</v>
      </c>
      <c r="O164" s="4" t="str">
        <f aca="false">IF(ABS(ROUND(G164*H164-J164,2)-M164)&lt;=0.011,"OK","CHECK")</f>
        <v>OK</v>
      </c>
      <c r="P164" s="4" t="str">
        <f aca="false">IF(ABS(ROUND(M164*21/121,2)-L164)&lt;=0.011,"OK","CHECK")</f>
        <v>OK</v>
      </c>
      <c r="Q164" s="4" t="str">
        <f aca="false">IF(ABS((M164-L164)/G164-K164)&lt;=0.0006,"OK","CHECK")</f>
        <v>OK</v>
      </c>
    </row>
    <row r="165" customFormat="false" ht="15" hidden="false" customHeight="true" outlineLevel="0" collapsed="false">
      <c r="A165" s="4" t="s">
        <v>189</v>
      </c>
      <c r="B165" s="4" t="s">
        <v>126</v>
      </c>
      <c r="C165" s="4" t="s">
        <v>232</v>
      </c>
      <c r="D165" s="4" t="s">
        <v>257</v>
      </c>
      <c r="E165" s="4" t="s">
        <v>8</v>
      </c>
      <c r="F165" s="4" t="s">
        <v>48</v>
      </c>
      <c r="G165" s="5" t="n">
        <v>437.11</v>
      </c>
      <c r="H165" s="6" t="n">
        <v>2.141</v>
      </c>
      <c r="I165" s="6" t="n">
        <v>0.23</v>
      </c>
      <c r="J165" s="5" t="n">
        <v>100.54</v>
      </c>
      <c r="K165" s="6" t="n">
        <v>1.5793</v>
      </c>
      <c r="L165" s="5" t="n">
        <v>144.97</v>
      </c>
      <c r="M165" s="5" t="n">
        <v>835.31</v>
      </c>
      <c r="N165" s="4" t="str">
        <f aca="false">IF(ABS(G165*I165-J165)&lt;=0.011,"OK","CHECK")</f>
        <v>OK</v>
      </c>
      <c r="O165" s="4" t="str">
        <f aca="false">IF(ABS(ROUND(G165*H165-J165,2)-M165)&lt;=0.011,"OK","CHECK")</f>
        <v>OK</v>
      </c>
      <c r="P165" s="4" t="str">
        <f aca="false">IF(ABS(ROUND(M165*21/121,2)-L165)&lt;=0.011,"OK","CHECK")</f>
        <v>OK</v>
      </c>
      <c r="Q165" s="4" t="str">
        <f aca="false">IF(ABS((M165-L165)/G165-K165)&lt;=0.0006,"OK","CHECK")</f>
        <v>OK</v>
      </c>
    </row>
    <row r="166" customFormat="false" ht="15" hidden="false" customHeight="true" outlineLevel="0" collapsed="false">
      <c r="A166" s="4" t="s">
        <v>189</v>
      </c>
      <c r="B166" s="4" t="s">
        <v>132</v>
      </c>
      <c r="C166" s="4" t="s">
        <v>190</v>
      </c>
      <c r="D166" s="4" t="s">
        <v>183</v>
      </c>
      <c r="E166" s="4" t="s">
        <v>8</v>
      </c>
      <c r="F166" s="4" t="s">
        <v>50</v>
      </c>
      <c r="G166" s="5" t="n">
        <v>73.71</v>
      </c>
      <c r="H166" s="6" t="n">
        <v>1.0237</v>
      </c>
      <c r="I166" s="6" t="n">
        <v>0.22</v>
      </c>
      <c r="J166" s="5" t="n">
        <v>16.22</v>
      </c>
      <c r="K166" s="6" t="n">
        <v>0.6642</v>
      </c>
      <c r="L166" s="5" t="n">
        <v>10.28</v>
      </c>
      <c r="M166" s="5" t="n">
        <v>59.24</v>
      </c>
      <c r="N166" s="4" t="str">
        <f aca="false">IF(ABS(G166*I166-J166)&lt;=0.011,"OK","CHECK")</f>
        <v>OK</v>
      </c>
      <c r="O166" s="4" t="str">
        <f aca="false">IF(ABS(ROUND(G166*H166-J166,2)-M166)&lt;=0.011,"OK","CHECK")</f>
        <v>OK</v>
      </c>
      <c r="P166" s="4" t="str">
        <f aca="false">IF(ABS(ROUND(M166*21/121,2)-L166)&lt;=0.011,"OK","CHECK")</f>
        <v>OK</v>
      </c>
      <c r="Q166" s="4" t="str">
        <f aca="false">IF(ABS((M166-L166)/G166-K166)&lt;=0.0006,"OK","CHECK")</f>
        <v>OK</v>
      </c>
    </row>
    <row r="167" customFormat="false" ht="15" hidden="false" customHeight="true" outlineLevel="0" collapsed="false">
      <c r="A167" s="4" t="s">
        <v>189</v>
      </c>
      <c r="B167" s="4" t="s">
        <v>132</v>
      </c>
      <c r="C167" s="4" t="s">
        <v>258</v>
      </c>
      <c r="D167" s="4" t="s">
        <v>259</v>
      </c>
      <c r="E167" s="4" t="s">
        <v>12</v>
      </c>
      <c r="F167" s="4" t="s">
        <v>50</v>
      </c>
      <c r="G167" s="5" t="n">
        <v>25</v>
      </c>
      <c r="H167" s="6" t="n">
        <v>1.4738</v>
      </c>
      <c r="I167" s="6" t="n">
        <v>0.6</v>
      </c>
      <c r="J167" s="5" t="n">
        <v>15</v>
      </c>
      <c r="K167" s="6" t="n">
        <v>0.7224</v>
      </c>
      <c r="L167" s="5" t="n">
        <v>3.79</v>
      </c>
      <c r="M167" s="5" t="n">
        <v>21.85</v>
      </c>
      <c r="N167" s="4" t="str">
        <f aca="false">IF(ABS(G167*I167-J167)&lt;=0.011,"OK","CHECK")</f>
        <v>OK</v>
      </c>
      <c r="O167" s="4" t="str">
        <f aca="false">IF(ABS(ROUND(G167*H167-J167,2)-M167)&lt;=0.011,"OK","CHECK")</f>
        <v>OK</v>
      </c>
      <c r="P167" s="4" t="str">
        <f aca="false">IF(ABS(ROUND(M167*21/121,2)-L167)&lt;=0.011,"OK","CHECK")</f>
        <v>OK</v>
      </c>
      <c r="Q167" s="4" t="str">
        <f aca="false">IF(ABS((M167-L167)/G167-K167)&lt;=0.0006,"OK","CHECK")</f>
        <v>OK</v>
      </c>
    </row>
    <row r="168" customFormat="false" ht="15" hidden="false" customHeight="true" outlineLevel="0" collapsed="false">
      <c r="A168" s="4" t="s">
        <v>189</v>
      </c>
      <c r="B168" s="4" t="s">
        <v>142</v>
      </c>
      <c r="C168" s="4" t="s">
        <v>227</v>
      </c>
      <c r="D168" s="4" t="s">
        <v>260</v>
      </c>
      <c r="E168" s="4" t="s">
        <v>8</v>
      </c>
      <c r="F168" s="4" t="s">
        <v>48</v>
      </c>
      <c r="G168" s="5" t="n">
        <v>726.71</v>
      </c>
      <c r="H168" s="6" t="n">
        <v>2.192</v>
      </c>
      <c r="I168" s="6" t="n">
        <v>0.23</v>
      </c>
      <c r="J168" s="5" t="n">
        <v>167.14</v>
      </c>
      <c r="K168" s="6" t="n">
        <v>1.6215</v>
      </c>
      <c r="L168" s="5" t="n">
        <v>247.45</v>
      </c>
      <c r="M168" s="5" t="n">
        <v>1425.81</v>
      </c>
      <c r="N168" s="4" t="str">
        <f aca="false">IF(ABS(G168*I168-J168)&lt;=0.011,"OK","CHECK")</f>
        <v>OK</v>
      </c>
      <c r="O168" s="4" t="str">
        <f aca="false">IF(ABS(ROUND(G168*H168-J168,2)-M168)&lt;=0.011,"OK","CHECK")</f>
        <v>OK</v>
      </c>
      <c r="P168" s="4" t="str">
        <f aca="false">IF(ABS(ROUND(M168*21/121,2)-L168)&lt;=0.011,"OK","CHECK")</f>
        <v>OK</v>
      </c>
      <c r="Q168" s="4" t="str">
        <f aca="false">IF(ABS((M168-L168)/G168-K168)&lt;=0.0006,"OK","CHECK")</f>
        <v>OK</v>
      </c>
    </row>
    <row r="169" customFormat="false" ht="15" hidden="false" customHeight="true" outlineLevel="0" collapsed="false">
      <c r="A169" s="4" t="s">
        <v>189</v>
      </c>
      <c r="B169" s="4" t="s">
        <v>142</v>
      </c>
      <c r="C169" s="4" t="s">
        <v>227</v>
      </c>
      <c r="D169" s="4" t="s">
        <v>261</v>
      </c>
      <c r="E169" s="4" t="s">
        <v>8</v>
      </c>
      <c r="F169" s="4" t="s">
        <v>48</v>
      </c>
      <c r="G169" s="5" t="n">
        <v>54.29</v>
      </c>
      <c r="H169" s="6" t="n">
        <v>2.192</v>
      </c>
      <c r="I169" s="6" t="n">
        <v>0.23</v>
      </c>
      <c r="J169" s="5" t="n">
        <v>12.49</v>
      </c>
      <c r="K169" s="6" t="n">
        <v>1.6213</v>
      </c>
      <c r="L169" s="5" t="n">
        <v>18.49</v>
      </c>
      <c r="M169" s="5" t="n">
        <v>106.51</v>
      </c>
      <c r="N169" s="4" t="str">
        <f aca="false">IF(ABS(G169*I169-J169)&lt;=0.011,"OK","CHECK")</f>
        <v>OK</v>
      </c>
      <c r="O169" s="4" t="str">
        <f aca="false">IF(ABS(ROUND(G169*H169-J169,2)-M169)&lt;=0.011,"OK","CHECK")</f>
        <v>OK</v>
      </c>
      <c r="P169" s="4" t="str">
        <f aca="false">IF(ABS(ROUND(M169*21/121,2)-L169)&lt;=0.011,"OK","CHECK")</f>
        <v>OK</v>
      </c>
      <c r="Q169" s="4" t="str">
        <f aca="false">IF(ABS((M169-L169)/G169-K169)&lt;=0.0006,"OK","CHECK")</f>
        <v>OK</v>
      </c>
    </row>
    <row r="170" customFormat="false" ht="15" hidden="false" customHeight="true" outlineLevel="0" collapsed="false">
      <c r="A170" s="4" t="s">
        <v>189</v>
      </c>
      <c r="B170" s="4" t="s">
        <v>142</v>
      </c>
      <c r="C170" s="4" t="s">
        <v>227</v>
      </c>
      <c r="D170" s="4" t="s">
        <v>262</v>
      </c>
      <c r="E170" s="4" t="s">
        <v>8</v>
      </c>
      <c r="F170" s="4" t="s">
        <v>50</v>
      </c>
      <c r="G170" s="5" t="n">
        <v>13.24</v>
      </c>
      <c r="H170" s="6" t="n">
        <v>1.0237</v>
      </c>
      <c r="I170" s="6" t="n">
        <v>0.22</v>
      </c>
      <c r="J170" s="5" t="n">
        <v>2.91</v>
      </c>
      <c r="K170" s="6" t="n">
        <v>0.6639</v>
      </c>
      <c r="L170" s="5" t="n">
        <v>1.85</v>
      </c>
      <c r="M170" s="5" t="n">
        <v>10.64</v>
      </c>
      <c r="N170" s="4" t="str">
        <f aca="false">IF(ABS(G170*I170-J170)&lt;=0.011,"OK","CHECK")</f>
        <v>OK</v>
      </c>
      <c r="O170" s="4" t="str">
        <f aca="false">IF(ABS(ROUND(G170*H170-J170,2)-M170)&lt;=0.011,"OK","CHECK")</f>
        <v>OK</v>
      </c>
      <c r="P170" s="4" t="str">
        <f aca="false">IF(ABS(ROUND(M170*21/121,2)-L170)&lt;=0.011,"OK","CHECK")</f>
        <v>OK</v>
      </c>
      <c r="Q170" s="4" t="str">
        <f aca="false">IF(ABS((M170-L170)/G170-K170)&lt;=0.0006,"OK","CHECK")</f>
        <v>OK</v>
      </c>
    </row>
    <row r="171" customFormat="false" ht="15" hidden="false" customHeight="true" outlineLevel="0" collapsed="false">
      <c r="A171" s="4" t="s">
        <v>189</v>
      </c>
      <c r="B171" s="4" t="s">
        <v>142</v>
      </c>
      <c r="C171" s="4" t="s">
        <v>227</v>
      </c>
      <c r="D171" s="4" t="s">
        <v>263</v>
      </c>
      <c r="E171" s="4" t="s">
        <v>8</v>
      </c>
      <c r="F171" s="4" t="s">
        <v>50</v>
      </c>
      <c r="G171" s="5" t="n">
        <v>42.76</v>
      </c>
      <c r="H171" s="6" t="n">
        <v>1.0237</v>
      </c>
      <c r="I171" s="6" t="n">
        <v>0.22</v>
      </c>
      <c r="J171" s="5" t="n">
        <v>9.41</v>
      </c>
      <c r="K171" s="6" t="n">
        <v>0.6642</v>
      </c>
      <c r="L171" s="5" t="n">
        <v>5.96</v>
      </c>
      <c r="M171" s="5" t="n">
        <v>34.36</v>
      </c>
      <c r="N171" s="4" t="str">
        <f aca="false">IF(ABS(G171*I171-J171)&lt;=0.011,"OK","CHECK")</f>
        <v>OK</v>
      </c>
      <c r="O171" s="4" t="str">
        <f aca="false">IF(ABS(ROUND(G171*H171-J171,2)-M171)&lt;=0.011,"OK","CHECK")</f>
        <v>OK</v>
      </c>
      <c r="P171" s="4" t="str">
        <f aca="false">IF(ABS(ROUND(M171*21/121,2)-L171)&lt;=0.011,"OK","CHECK")</f>
        <v>OK</v>
      </c>
      <c r="Q171" s="4" t="str">
        <f aca="false">IF(ABS((M171-L171)/G171-K171)&lt;=0.0006,"OK","CHECK")</f>
        <v>OK</v>
      </c>
    </row>
    <row r="172" customFormat="false" ht="15" hidden="false" customHeight="true" outlineLevel="0" collapsed="false">
      <c r="A172" s="4" t="s">
        <v>189</v>
      </c>
      <c r="B172" s="4" t="s">
        <v>142</v>
      </c>
      <c r="C172" s="4" t="s">
        <v>212</v>
      </c>
      <c r="D172" s="4" t="s">
        <v>264</v>
      </c>
      <c r="E172" s="4" t="s">
        <v>12</v>
      </c>
      <c r="F172" s="4" t="s">
        <v>48</v>
      </c>
      <c r="G172" s="5" t="n">
        <v>520</v>
      </c>
      <c r="H172" s="6" t="n">
        <v>2.038</v>
      </c>
      <c r="I172" s="6" t="n">
        <v>0.23</v>
      </c>
      <c r="J172" s="5" t="n">
        <v>119.6</v>
      </c>
      <c r="K172" s="6" t="n">
        <v>1.4942</v>
      </c>
      <c r="L172" s="5" t="n">
        <v>163.17</v>
      </c>
      <c r="M172" s="5" t="n">
        <v>940.16</v>
      </c>
      <c r="N172" s="4" t="str">
        <f aca="false">IF(ABS(G172*I172-J172)&lt;=0.011,"OK","CHECK")</f>
        <v>OK</v>
      </c>
      <c r="O172" s="4" t="str">
        <f aca="false">IF(ABS(ROUND(G172*H172-J172,2)-M172)&lt;=0.011,"OK","CHECK")</f>
        <v>OK</v>
      </c>
      <c r="P172" s="4" t="str">
        <f aca="false">IF(ABS(ROUND(M172*21/121,2)-L172)&lt;=0.011,"OK","CHECK")</f>
        <v>OK</v>
      </c>
      <c r="Q172" s="4" t="str">
        <f aca="false">IF(ABS((M172-L172)/G172-K172)&lt;=0.0006,"OK","CHECK")</f>
        <v>OK</v>
      </c>
    </row>
    <row r="173" customFormat="false" ht="15" hidden="false" customHeight="true" outlineLevel="0" collapsed="false">
      <c r="A173" s="4" t="s">
        <v>189</v>
      </c>
      <c r="B173" s="4" t="s">
        <v>142</v>
      </c>
      <c r="C173" s="4" t="s">
        <v>212</v>
      </c>
      <c r="D173" s="4" t="s">
        <v>265</v>
      </c>
      <c r="E173" s="4" t="s">
        <v>12</v>
      </c>
      <c r="F173" s="4" t="s">
        <v>48</v>
      </c>
      <c r="G173" s="5" t="n">
        <v>450</v>
      </c>
      <c r="H173" s="6" t="n">
        <v>2.038</v>
      </c>
      <c r="I173" s="6" t="n">
        <v>0.23</v>
      </c>
      <c r="J173" s="5" t="n">
        <v>103.5</v>
      </c>
      <c r="K173" s="6" t="n">
        <v>1.4942</v>
      </c>
      <c r="L173" s="5" t="n">
        <v>141.2</v>
      </c>
      <c r="M173" s="5" t="n">
        <v>813.6</v>
      </c>
      <c r="N173" s="4" t="str">
        <f aca="false">IF(ABS(G173*I173-J173)&lt;=0.011,"OK","CHECK")</f>
        <v>OK</v>
      </c>
      <c r="O173" s="4" t="str">
        <f aca="false">IF(ABS(ROUND(G173*H173-J173,2)-M173)&lt;=0.011,"OK","CHECK")</f>
        <v>OK</v>
      </c>
      <c r="P173" s="4" t="str">
        <f aca="false">IF(ABS(ROUND(M173*21/121,2)-L173)&lt;=0.011,"OK","CHECK")</f>
        <v>OK</v>
      </c>
      <c r="Q173" s="4" t="str">
        <f aca="false">IF(ABS((M173-L173)/G173-K173)&lt;=0.0006,"OK","CHECK")</f>
        <v>OK</v>
      </c>
    </row>
    <row r="174" customFormat="false" ht="15" hidden="false" customHeight="true" outlineLevel="0" collapsed="false">
      <c r="A174" s="4" t="s">
        <v>189</v>
      </c>
      <c r="B174" s="4" t="s">
        <v>142</v>
      </c>
      <c r="C174" s="4" t="s">
        <v>212</v>
      </c>
      <c r="D174" s="4" t="s">
        <v>266</v>
      </c>
      <c r="E174" s="4" t="s">
        <v>12</v>
      </c>
      <c r="F174" s="4" t="s">
        <v>50</v>
      </c>
      <c r="G174" s="5" t="n">
        <v>44.44</v>
      </c>
      <c r="H174" s="6" t="n">
        <v>1.4738</v>
      </c>
      <c r="I174" s="6" t="n">
        <v>0.6</v>
      </c>
      <c r="J174" s="5" t="n">
        <v>26.66</v>
      </c>
      <c r="K174" s="6" t="n">
        <v>0.7223</v>
      </c>
      <c r="L174" s="5" t="n">
        <v>6.74</v>
      </c>
      <c r="M174" s="5" t="n">
        <v>38.84</v>
      </c>
      <c r="N174" s="4" t="str">
        <f aca="false">IF(ABS(G174*I174-J174)&lt;=0.011,"OK","CHECK")</f>
        <v>OK</v>
      </c>
      <c r="O174" s="4" t="str">
        <f aca="false">IF(ABS(ROUND(G174*H174-J174,2)-M174)&lt;=0.011,"OK","CHECK")</f>
        <v>OK</v>
      </c>
      <c r="P174" s="4" t="str">
        <f aca="false">IF(ABS(ROUND(M174*21/121,2)-L174)&lt;=0.011,"OK","CHECK")</f>
        <v>OK</v>
      </c>
      <c r="Q174" s="4" t="str">
        <f aca="false">IF(ABS((M174-L174)/G174-K174)&lt;=0.0006,"OK","CHECK")</f>
        <v>OK</v>
      </c>
    </row>
    <row r="175" customFormat="false" ht="15" hidden="false" customHeight="true" outlineLevel="0" collapsed="false">
      <c r="A175" s="4" t="s">
        <v>189</v>
      </c>
      <c r="B175" s="4" t="s">
        <v>142</v>
      </c>
      <c r="C175" s="4" t="s">
        <v>212</v>
      </c>
      <c r="D175" s="4" t="s">
        <v>267</v>
      </c>
      <c r="E175" s="4" t="s">
        <v>12</v>
      </c>
      <c r="F175" s="4" t="s">
        <v>50</v>
      </c>
      <c r="G175" s="5" t="n">
        <v>32.1</v>
      </c>
      <c r="H175" s="6" t="n">
        <v>1.4738</v>
      </c>
      <c r="I175" s="6" t="n">
        <v>0.6</v>
      </c>
      <c r="J175" s="5" t="n">
        <v>19.26</v>
      </c>
      <c r="K175" s="6" t="n">
        <v>0.7221</v>
      </c>
      <c r="L175" s="5" t="n">
        <v>4.87</v>
      </c>
      <c r="M175" s="5" t="n">
        <v>28.05</v>
      </c>
      <c r="N175" s="4" t="str">
        <f aca="false">IF(ABS(G175*I175-J175)&lt;=0.011,"OK","CHECK")</f>
        <v>OK</v>
      </c>
      <c r="O175" s="4" t="str">
        <f aca="false">IF(ABS(ROUND(G175*H175-J175,2)-M175)&lt;=0.011,"OK","CHECK")</f>
        <v>OK</v>
      </c>
      <c r="P175" s="4" t="str">
        <f aca="false">IF(ABS(ROUND(M175*21/121,2)-L175)&lt;=0.011,"OK","CHECK")</f>
        <v>OK</v>
      </c>
      <c r="Q175" s="4" t="str">
        <f aca="false">IF(ABS((M175-L175)/G175-K175)&lt;=0.0006,"OK","CHECK")</f>
        <v>OK</v>
      </c>
    </row>
    <row r="176" customFormat="false" ht="15" hidden="false" customHeight="true" outlineLevel="0" collapsed="false">
      <c r="A176" s="4" t="s">
        <v>189</v>
      </c>
      <c r="B176" s="4" t="s">
        <v>151</v>
      </c>
      <c r="C176" s="4" t="s">
        <v>219</v>
      </c>
      <c r="D176" s="4" t="s">
        <v>218</v>
      </c>
      <c r="E176" s="4" t="s">
        <v>8</v>
      </c>
      <c r="F176" s="4" t="s">
        <v>48</v>
      </c>
      <c r="G176" s="5" t="n">
        <v>745.41</v>
      </c>
      <c r="H176" s="6" t="n">
        <v>2.141</v>
      </c>
      <c r="I176" s="6" t="n">
        <v>0.23</v>
      </c>
      <c r="J176" s="5" t="n">
        <v>171.44</v>
      </c>
      <c r="K176" s="6" t="n">
        <v>1.5793</v>
      </c>
      <c r="L176" s="5" t="n">
        <v>247.22</v>
      </c>
      <c r="M176" s="5" t="n">
        <v>1424.48</v>
      </c>
      <c r="N176" s="4" t="str">
        <f aca="false">IF(ABS(G176*I176-J176)&lt;=0.011,"OK","CHECK")</f>
        <v>OK</v>
      </c>
      <c r="O176" s="4" t="str">
        <f aca="false">IF(ABS(ROUND(G176*H176-J176,2)-M176)&lt;=0.011,"OK","CHECK")</f>
        <v>OK</v>
      </c>
      <c r="P176" s="4" t="str">
        <f aca="false">IF(ABS(ROUND(M176*21/121,2)-L176)&lt;=0.011,"OK","CHECK")</f>
        <v>OK</v>
      </c>
      <c r="Q176" s="4" t="str">
        <f aca="false">IF(ABS((M176-L176)/G176-K176)&lt;=0.0006,"OK","CHECK")</f>
        <v>OK</v>
      </c>
    </row>
    <row r="177" customFormat="false" ht="15" hidden="false" customHeight="true" outlineLevel="0" collapsed="false">
      <c r="A177" s="4" t="s">
        <v>189</v>
      </c>
      <c r="B177" s="4" t="s">
        <v>151</v>
      </c>
      <c r="C177" s="4" t="s">
        <v>219</v>
      </c>
      <c r="D177" s="4" t="s">
        <v>268</v>
      </c>
      <c r="E177" s="4" t="s">
        <v>8</v>
      </c>
      <c r="F177" s="4" t="s">
        <v>50</v>
      </c>
      <c r="G177" s="5" t="n">
        <v>85.5</v>
      </c>
      <c r="H177" s="6" t="n">
        <v>1.0237</v>
      </c>
      <c r="I177" s="6" t="n">
        <v>0.22</v>
      </c>
      <c r="J177" s="5" t="n">
        <v>18.81</v>
      </c>
      <c r="K177" s="6" t="n">
        <v>0.6642</v>
      </c>
      <c r="L177" s="5" t="n">
        <v>11.93</v>
      </c>
      <c r="M177" s="5" t="n">
        <v>68.72</v>
      </c>
      <c r="N177" s="4" t="str">
        <f aca="false">IF(ABS(G177*I177-J177)&lt;=0.011,"OK","CHECK")</f>
        <v>OK</v>
      </c>
      <c r="O177" s="4" t="str">
        <f aca="false">IF(ABS(ROUND(G177*H177-J177,2)-M177)&lt;=0.011,"OK","CHECK")</f>
        <v>OK</v>
      </c>
      <c r="P177" s="4" t="str">
        <f aca="false">IF(ABS(ROUND(M177*21/121,2)-L177)&lt;=0.011,"OK","CHECK")</f>
        <v>OK</v>
      </c>
      <c r="Q177" s="4" t="str">
        <f aca="false">IF(ABS((M177-L177)/G177-K177)&lt;=0.0006,"OK","CHECK")</f>
        <v>OK</v>
      </c>
    </row>
    <row r="178" customFormat="false" ht="15" hidden="false" customHeight="true" outlineLevel="0" collapsed="false">
      <c r="A178" s="4" t="s">
        <v>189</v>
      </c>
      <c r="B178" s="4" t="s">
        <v>151</v>
      </c>
      <c r="C178" s="4" t="s">
        <v>212</v>
      </c>
      <c r="D178" s="4" t="s">
        <v>242</v>
      </c>
      <c r="E178" s="4" t="s">
        <v>12</v>
      </c>
      <c r="F178" s="4" t="s">
        <v>48</v>
      </c>
      <c r="G178" s="5" t="n">
        <v>452</v>
      </c>
      <c r="H178" s="6" t="n">
        <v>2.038</v>
      </c>
      <c r="I178" s="6" t="n">
        <v>0.23</v>
      </c>
      <c r="J178" s="5" t="n">
        <v>103.96</v>
      </c>
      <c r="K178" s="6" t="n">
        <v>1.4942</v>
      </c>
      <c r="L178" s="5" t="n">
        <v>141.83</v>
      </c>
      <c r="M178" s="5" t="n">
        <v>817.22</v>
      </c>
      <c r="N178" s="4" t="str">
        <f aca="false">IF(ABS(G178*I178-J178)&lt;=0.011,"OK","CHECK")</f>
        <v>OK</v>
      </c>
      <c r="O178" s="4" t="str">
        <f aca="false">IF(ABS(ROUND(G178*H178-J178,2)-M178)&lt;=0.011,"OK","CHECK")</f>
        <v>OK</v>
      </c>
      <c r="P178" s="4" t="str">
        <f aca="false">IF(ABS(ROUND(M178*21/121,2)-L178)&lt;=0.011,"OK","CHECK")</f>
        <v>OK</v>
      </c>
      <c r="Q178" s="4" t="str">
        <f aca="false">IF(ABS((M178-L178)/G178-K178)&lt;=0.0006,"OK","CHECK")</f>
        <v>OK</v>
      </c>
    </row>
    <row r="179" customFormat="false" ht="15" hidden="false" customHeight="true" outlineLevel="0" collapsed="false">
      <c r="A179" s="4" t="s">
        <v>189</v>
      </c>
      <c r="B179" s="4" t="s">
        <v>151</v>
      </c>
      <c r="C179" s="4" t="s">
        <v>212</v>
      </c>
      <c r="D179" s="4" t="s">
        <v>269</v>
      </c>
      <c r="E179" s="4" t="s">
        <v>12</v>
      </c>
      <c r="F179" s="4" t="s">
        <v>48</v>
      </c>
      <c r="G179" s="5" t="n">
        <v>316</v>
      </c>
      <c r="H179" s="6" t="n">
        <v>2.038</v>
      </c>
      <c r="I179" s="6" t="n">
        <v>0.23</v>
      </c>
      <c r="J179" s="5" t="n">
        <v>72.68</v>
      </c>
      <c r="K179" s="6" t="n">
        <v>1.4942</v>
      </c>
      <c r="L179" s="5" t="n">
        <v>99.16</v>
      </c>
      <c r="M179" s="5" t="n">
        <v>571.33</v>
      </c>
      <c r="N179" s="4" t="str">
        <f aca="false">IF(ABS(G179*I179-J179)&lt;=0.011,"OK","CHECK")</f>
        <v>OK</v>
      </c>
      <c r="O179" s="4" t="str">
        <f aca="false">IF(ABS(ROUND(G179*H179-J179,2)-M179)&lt;=0.011,"OK","CHECK")</f>
        <v>OK</v>
      </c>
      <c r="P179" s="4" t="str">
        <f aca="false">IF(ABS(ROUND(M179*21/121,2)-L179)&lt;=0.011,"OK","CHECK")</f>
        <v>OK</v>
      </c>
      <c r="Q179" s="4" t="str">
        <f aca="false">IF(ABS((M179-L179)/G179-K179)&lt;=0.0006,"OK","CHECK")</f>
        <v>OK</v>
      </c>
    </row>
    <row r="180" customFormat="false" ht="15" hidden="false" customHeight="true" outlineLevel="0" collapsed="false">
      <c r="A180" s="4" t="s">
        <v>189</v>
      </c>
      <c r="B180" s="4" t="s">
        <v>151</v>
      </c>
      <c r="C180" s="4" t="s">
        <v>212</v>
      </c>
      <c r="D180" s="4" t="s">
        <v>73</v>
      </c>
      <c r="E180" s="4" t="s">
        <v>12</v>
      </c>
      <c r="F180" s="4" t="s">
        <v>50</v>
      </c>
      <c r="G180" s="5" t="n">
        <v>47</v>
      </c>
      <c r="H180" s="6" t="n">
        <v>1.4738</v>
      </c>
      <c r="I180" s="6" t="n">
        <v>0.6</v>
      </c>
      <c r="J180" s="5" t="n">
        <v>28.2</v>
      </c>
      <c r="K180" s="6" t="n">
        <v>0.7221</v>
      </c>
      <c r="L180" s="5" t="n">
        <v>7.13</v>
      </c>
      <c r="M180" s="5" t="n">
        <v>41.07</v>
      </c>
      <c r="N180" s="4" t="str">
        <f aca="false">IF(ABS(G180*I180-J180)&lt;=0.011,"OK","CHECK")</f>
        <v>OK</v>
      </c>
      <c r="O180" s="4" t="str">
        <f aca="false">IF(ABS(ROUND(G180*H180-J180,2)-M180)&lt;=0.011,"OK","CHECK")</f>
        <v>OK</v>
      </c>
      <c r="P180" s="4" t="str">
        <f aca="false">IF(ABS(ROUND(M180*21/121,2)-L180)&lt;=0.011,"OK","CHECK")</f>
        <v>OK</v>
      </c>
      <c r="Q180" s="4" t="str">
        <f aca="false">IF(ABS((M180-L180)/G180-K180)&lt;=0.0006,"OK","CHECK")</f>
        <v>OK</v>
      </c>
    </row>
    <row r="181" customFormat="false" ht="15" hidden="false" customHeight="true" outlineLevel="0" collapsed="false">
      <c r="A181" s="4" t="s">
        <v>189</v>
      </c>
      <c r="B181" s="4" t="s">
        <v>157</v>
      </c>
      <c r="C181" s="4" t="s">
        <v>190</v>
      </c>
      <c r="D181" s="4" t="s">
        <v>270</v>
      </c>
      <c r="E181" s="4" t="s">
        <v>8</v>
      </c>
      <c r="F181" s="4" t="s">
        <v>50</v>
      </c>
      <c r="G181" s="5" t="n">
        <v>53.28</v>
      </c>
      <c r="H181" s="6" t="n">
        <v>1.0237</v>
      </c>
      <c r="I181" s="6" t="n">
        <v>0.22</v>
      </c>
      <c r="J181" s="5" t="n">
        <v>11.72</v>
      </c>
      <c r="K181" s="6" t="n">
        <v>0.6642</v>
      </c>
      <c r="L181" s="5" t="n">
        <v>7.43</v>
      </c>
      <c r="M181" s="5" t="n">
        <v>42.82</v>
      </c>
      <c r="N181" s="4" t="str">
        <f aca="false">IF(ABS(G181*I181-J181)&lt;=0.011,"OK","CHECK")</f>
        <v>OK</v>
      </c>
      <c r="O181" s="4" t="str">
        <f aca="false">IF(ABS(ROUND(G181*H181-J181,2)-M181)&lt;=0.011,"OK","CHECK")</f>
        <v>OK</v>
      </c>
      <c r="P181" s="4" t="str">
        <f aca="false">IF(ABS(ROUND(M181*21/121,2)-L181)&lt;=0.011,"OK","CHECK")</f>
        <v>OK</v>
      </c>
      <c r="Q181" s="4" t="str">
        <f aca="false">IF(ABS((M181-L181)/G181-K181)&lt;=0.0006,"OK","CHECK")</f>
        <v>OK</v>
      </c>
    </row>
    <row r="182" customFormat="false" ht="15" hidden="false" customHeight="true" outlineLevel="0" collapsed="false">
      <c r="A182" s="4" t="s">
        <v>189</v>
      </c>
      <c r="B182" s="4" t="s">
        <v>157</v>
      </c>
      <c r="C182" s="4" t="s">
        <v>206</v>
      </c>
      <c r="D182" s="4" t="s">
        <v>271</v>
      </c>
      <c r="E182" s="4" t="s">
        <v>8</v>
      </c>
      <c r="F182" s="4" t="s">
        <v>50</v>
      </c>
      <c r="G182" s="5" t="n">
        <v>27.46</v>
      </c>
      <c r="H182" s="6" t="n">
        <v>1.0237</v>
      </c>
      <c r="I182" s="6" t="n">
        <v>0.22</v>
      </c>
      <c r="J182" s="5" t="n">
        <v>6.04</v>
      </c>
      <c r="K182" s="6" t="n">
        <v>0.6642</v>
      </c>
      <c r="L182" s="5" t="n">
        <v>3.83</v>
      </c>
      <c r="M182" s="5" t="n">
        <v>22.07</v>
      </c>
      <c r="N182" s="4" t="str">
        <f aca="false">IF(ABS(G182*I182-J182)&lt;=0.011,"OK","CHECK")</f>
        <v>OK</v>
      </c>
      <c r="O182" s="4" t="str">
        <f aca="false">IF(ABS(ROUND(G182*H182-J182,2)-M182)&lt;=0.011,"OK","CHECK")</f>
        <v>OK</v>
      </c>
      <c r="P182" s="4" t="str">
        <f aca="false">IF(ABS(ROUND(M182*21/121,2)-L182)&lt;=0.011,"OK","CHECK")</f>
        <v>OK</v>
      </c>
      <c r="Q182" s="4" t="str">
        <f aca="false">IF(ABS((M182-L182)/G182-K182)&lt;=0.0006,"OK","CHECK")</f>
        <v>OK</v>
      </c>
    </row>
    <row r="183" customFormat="false" ht="15" hidden="false" customHeight="true" outlineLevel="0" collapsed="false">
      <c r="A183" s="4" t="s">
        <v>189</v>
      </c>
      <c r="B183" s="4" t="s">
        <v>157</v>
      </c>
      <c r="C183" s="4" t="s">
        <v>197</v>
      </c>
      <c r="D183" s="4" t="s">
        <v>272</v>
      </c>
      <c r="E183" s="4" t="s">
        <v>12</v>
      </c>
      <c r="F183" s="4" t="s">
        <v>50</v>
      </c>
      <c r="G183" s="5" t="n">
        <v>26.01</v>
      </c>
      <c r="H183" s="6" t="n">
        <v>1.4738</v>
      </c>
      <c r="I183" s="6" t="n">
        <v>0.6</v>
      </c>
      <c r="J183" s="5" t="n">
        <v>15.61</v>
      </c>
      <c r="K183" s="6" t="n">
        <v>0.722</v>
      </c>
      <c r="L183" s="5" t="n">
        <v>3.94</v>
      </c>
      <c r="M183" s="5" t="n">
        <v>22.72</v>
      </c>
      <c r="N183" s="4" t="str">
        <f aca="false">IF(ABS(G183*I183-J183)&lt;=0.011,"OK","CHECK")</f>
        <v>OK</v>
      </c>
      <c r="O183" s="4" t="str">
        <f aca="false">IF(ABS(ROUND(G183*H183-J183,2)-M183)&lt;=0.011,"OK","CHECK")</f>
        <v>OK</v>
      </c>
      <c r="P183" s="4" t="str">
        <f aca="false">IF(ABS(ROUND(M183*21/121,2)-L183)&lt;=0.011,"OK","CHECK")</f>
        <v>OK</v>
      </c>
      <c r="Q183" s="4" t="str">
        <f aca="false">IF(ABS((M183-L183)/G183-K183)&lt;=0.0006,"OK","CHECK")</f>
        <v>OK</v>
      </c>
    </row>
    <row r="184" customFormat="false" ht="15" hidden="false" customHeight="true" outlineLevel="0" collapsed="false">
      <c r="A184" s="4" t="s">
        <v>189</v>
      </c>
      <c r="B184" s="4" t="s">
        <v>159</v>
      </c>
      <c r="C184" s="4" t="s">
        <v>190</v>
      </c>
      <c r="D184" s="4" t="s">
        <v>273</v>
      </c>
      <c r="E184" s="4" t="s">
        <v>8</v>
      </c>
      <c r="F184" s="4" t="s">
        <v>48</v>
      </c>
      <c r="G184" s="5" t="n">
        <v>756.11</v>
      </c>
      <c r="H184" s="6" t="n">
        <v>2.116</v>
      </c>
      <c r="I184" s="6" t="n">
        <v>0.23</v>
      </c>
      <c r="J184" s="5" t="n">
        <v>173.91</v>
      </c>
      <c r="K184" s="6" t="n">
        <v>1.5587</v>
      </c>
      <c r="L184" s="5" t="n">
        <v>247.49</v>
      </c>
      <c r="M184" s="5" t="n">
        <v>1426.02</v>
      </c>
      <c r="N184" s="4" t="str">
        <f aca="false">IF(ABS(G184*I184-J184)&lt;=0.011,"OK","CHECK")</f>
        <v>OK</v>
      </c>
      <c r="O184" s="4" t="str">
        <f aca="false">IF(ABS(ROUND(G184*H184-J184,2)-M184)&lt;=0.011,"OK","CHECK")</f>
        <v>OK</v>
      </c>
      <c r="P184" s="4" t="str">
        <f aca="false">IF(ABS(ROUND(M184*21/121,2)-L184)&lt;=0.011,"OK","CHECK")</f>
        <v>OK</v>
      </c>
      <c r="Q184" s="4" t="str">
        <f aca="false">IF(ABS((M184-L184)/G184-K184)&lt;=0.0006,"OK","CHECK")</f>
        <v>OK</v>
      </c>
    </row>
    <row r="185" customFormat="false" ht="15" hidden="false" customHeight="true" outlineLevel="0" collapsed="false">
      <c r="A185" s="4" t="s">
        <v>189</v>
      </c>
      <c r="B185" s="4" t="s">
        <v>159</v>
      </c>
      <c r="C185" s="4" t="s">
        <v>190</v>
      </c>
      <c r="D185" s="4" t="s">
        <v>274</v>
      </c>
      <c r="E185" s="4" t="s">
        <v>8</v>
      </c>
      <c r="F185" s="4" t="s">
        <v>48</v>
      </c>
      <c r="G185" s="5" t="n">
        <v>163</v>
      </c>
      <c r="H185" s="6" t="n">
        <v>2.116</v>
      </c>
      <c r="I185" s="6" t="n">
        <v>0.23</v>
      </c>
      <c r="J185" s="5" t="n">
        <v>37.49</v>
      </c>
      <c r="K185" s="6" t="n">
        <v>1.5587</v>
      </c>
      <c r="L185" s="5" t="n">
        <v>53.35</v>
      </c>
      <c r="M185" s="5" t="n">
        <v>307.42</v>
      </c>
      <c r="N185" s="4" t="str">
        <f aca="false">IF(ABS(G185*I185-J185)&lt;=0.011,"OK","CHECK")</f>
        <v>OK</v>
      </c>
      <c r="O185" s="4" t="str">
        <f aca="false">IF(ABS(ROUND(G185*H185-J185,2)-M185)&lt;=0.011,"OK","CHECK")</f>
        <v>OK</v>
      </c>
      <c r="P185" s="4" t="str">
        <f aca="false">IF(ABS(ROUND(M185*21/121,2)-L185)&lt;=0.011,"OK","CHECK")</f>
        <v>OK</v>
      </c>
      <c r="Q185" s="4" t="str">
        <f aca="false">IF(ABS((M185-L185)/G185-K185)&lt;=0.0006,"OK","CHECK")</f>
        <v>OK</v>
      </c>
    </row>
    <row r="186" customFormat="false" ht="15" hidden="false" customHeight="true" outlineLevel="0" collapsed="false">
      <c r="A186" s="4" t="s">
        <v>189</v>
      </c>
      <c r="B186" s="4" t="s">
        <v>159</v>
      </c>
      <c r="C186" s="4" t="s">
        <v>190</v>
      </c>
      <c r="D186" s="4" t="s">
        <v>275</v>
      </c>
      <c r="E186" s="4" t="s">
        <v>8</v>
      </c>
      <c r="F186" s="4" t="s">
        <v>50</v>
      </c>
      <c r="G186" s="5" t="n">
        <v>108.18</v>
      </c>
      <c r="H186" s="6" t="n">
        <v>1.0237</v>
      </c>
      <c r="I186" s="6" t="n">
        <v>0.22</v>
      </c>
      <c r="J186" s="5" t="n">
        <v>23.8</v>
      </c>
      <c r="K186" s="6" t="n">
        <v>0.6642</v>
      </c>
      <c r="L186" s="5" t="n">
        <v>15.09</v>
      </c>
      <c r="M186" s="5" t="n">
        <v>86.94</v>
      </c>
      <c r="N186" s="4" t="str">
        <f aca="false">IF(ABS(G186*I186-J186)&lt;=0.011,"OK","CHECK")</f>
        <v>OK</v>
      </c>
      <c r="O186" s="4" t="str">
        <f aca="false">IF(ABS(ROUND(G186*H186-J186,2)-M186)&lt;=0.011,"OK","CHECK")</f>
        <v>OK</v>
      </c>
      <c r="P186" s="4" t="str">
        <f aca="false">IF(ABS(ROUND(M186*21/121,2)-L186)&lt;=0.011,"OK","CHECK")</f>
        <v>OK</v>
      </c>
      <c r="Q186" s="4" t="str">
        <f aca="false">IF(ABS((M186-L186)/G186-K186)&lt;=0.0006,"OK","CHECK")</f>
        <v>OK</v>
      </c>
    </row>
    <row r="187" customFormat="false" ht="15" hidden="false" customHeight="true" outlineLevel="0" collapsed="false">
      <c r="A187" s="4" t="s">
        <v>189</v>
      </c>
      <c r="B187" s="4" t="s">
        <v>159</v>
      </c>
      <c r="C187" s="4" t="s">
        <v>227</v>
      </c>
      <c r="D187" s="4" t="s">
        <v>276</v>
      </c>
      <c r="E187" s="4" t="s">
        <v>8</v>
      </c>
      <c r="F187" s="4" t="s">
        <v>48</v>
      </c>
      <c r="G187" s="5" t="n">
        <v>290</v>
      </c>
      <c r="H187" s="6" t="n">
        <v>2.192</v>
      </c>
      <c r="I187" s="6" t="n">
        <v>0.23</v>
      </c>
      <c r="J187" s="5" t="n">
        <v>66.7</v>
      </c>
      <c r="K187" s="6" t="n">
        <v>1.6215</v>
      </c>
      <c r="L187" s="5" t="n">
        <v>98.75</v>
      </c>
      <c r="M187" s="5" t="n">
        <v>568.98</v>
      </c>
      <c r="N187" s="4" t="str">
        <f aca="false">IF(ABS(G187*I187-J187)&lt;=0.011,"OK","CHECK")</f>
        <v>OK</v>
      </c>
      <c r="O187" s="4" t="str">
        <f aca="false">IF(ABS(ROUND(G187*H187-J187,2)-M187)&lt;=0.011,"OK","CHECK")</f>
        <v>OK</v>
      </c>
      <c r="P187" s="4" t="str">
        <f aca="false">IF(ABS(ROUND(M187*21/121,2)-L187)&lt;=0.011,"OK","CHECK")</f>
        <v>OK</v>
      </c>
      <c r="Q187" s="4" t="str">
        <f aca="false">IF(ABS((M187-L187)/G187-K187)&lt;=0.0006,"OK","CHECK")</f>
        <v>OK</v>
      </c>
    </row>
    <row r="188" customFormat="false" ht="15" hidden="false" customHeight="true" outlineLevel="0" collapsed="false">
      <c r="A188" s="4" t="s">
        <v>189</v>
      </c>
      <c r="B188" s="4" t="s">
        <v>159</v>
      </c>
      <c r="C188" s="4" t="s">
        <v>227</v>
      </c>
      <c r="D188" s="4" t="s">
        <v>277</v>
      </c>
      <c r="E188" s="4" t="s">
        <v>8</v>
      </c>
      <c r="F188" s="4" t="s">
        <v>50</v>
      </c>
      <c r="G188" s="5" t="n">
        <v>36.58</v>
      </c>
      <c r="H188" s="6" t="n">
        <v>1.0237</v>
      </c>
      <c r="I188" s="6" t="n">
        <v>0.22</v>
      </c>
      <c r="J188" s="5" t="n">
        <v>8.05</v>
      </c>
      <c r="K188" s="6" t="n">
        <v>0.6643</v>
      </c>
      <c r="L188" s="5" t="n">
        <v>5.1</v>
      </c>
      <c r="M188" s="5" t="n">
        <v>29.4</v>
      </c>
      <c r="N188" s="4" t="str">
        <f aca="false">IF(ABS(G188*I188-J188)&lt;=0.011,"OK","CHECK")</f>
        <v>OK</v>
      </c>
      <c r="O188" s="4" t="str">
        <f aca="false">IF(ABS(ROUND(G188*H188-J188,2)-M188)&lt;=0.011,"OK","CHECK")</f>
        <v>OK</v>
      </c>
      <c r="P188" s="4" t="str">
        <f aca="false">IF(ABS(ROUND(M188*21/121,2)-L188)&lt;=0.011,"OK","CHECK")</f>
        <v>OK</v>
      </c>
      <c r="Q188" s="4" t="str">
        <f aca="false">IF(ABS((M188-L188)/G188-K188)&lt;=0.0006,"OK","CHECK")</f>
        <v>OK</v>
      </c>
    </row>
    <row r="189" customFormat="false" ht="15" hidden="false" customHeight="true" outlineLevel="0" collapsed="false">
      <c r="A189" s="4" t="s">
        <v>189</v>
      </c>
      <c r="B189" s="4" t="s">
        <v>159</v>
      </c>
      <c r="C189" s="4" t="s">
        <v>258</v>
      </c>
      <c r="D189" s="4" t="s">
        <v>278</v>
      </c>
      <c r="E189" s="4" t="s">
        <v>8</v>
      </c>
      <c r="F189" s="4" t="s">
        <v>48</v>
      </c>
      <c r="G189" s="5" t="n">
        <v>680.01</v>
      </c>
      <c r="H189" s="6" t="n">
        <v>2.141</v>
      </c>
      <c r="I189" s="6" t="n">
        <v>0.23</v>
      </c>
      <c r="J189" s="5" t="n">
        <v>156.4</v>
      </c>
      <c r="K189" s="6" t="n">
        <v>1.5793</v>
      </c>
      <c r="L189" s="5" t="n">
        <v>225.53</v>
      </c>
      <c r="M189" s="5" t="n">
        <v>1299.5</v>
      </c>
      <c r="N189" s="4" t="str">
        <f aca="false">IF(ABS(G189*I189-J189)&lt;=0.011,"OK","CHECK")</f>
        <v>OK</v>
      </c>
      <c r="O189" s="4" t="str">
        <f aca="false">IF(ABS(ROUND(G189*H189-J189,2)-M189)&lt;=0.011,"OK","CHECK")</f>
        <v>OK</v>
      </c>
      <c r="P189" s="4" t="str">
        <f aca="false">IF(ABS(ROUND(M189*21/121,2)-L189)&lt;=0.011,"OK","CHECK")</f>
        <v>OK</v>
      </c>
      <c r="Q189" s="4" t="str">
        <f aca="false">IF(ABS((M189-L189)/G189-K189)&lt;=0.0006,"OK","CHECK")</f>
        <v>OK</v>
      </c>
    </row>
    <row r="190" customFormat="false" ht="15" hidden="false" customHeight="true" outlineLevel="0" collapsed="false">
      <c r="A190" s="4" t="s">
        <v>189</v>
      </c>
      <c r="B190" s="4" t="s">
        <v>159</v>
      </c>
      <c r="C190" s="4" t="s">
        <v>258</v>
      </c>
      <c r="D190" s="4" t="s">
        <v>98</v>
      </c>
      <c r="E190" s="4" t="s">
        <v>8</v>
      </c>
      <c r="F190" s="4" t="s">
        <v>50</v>
      </c>
      <c r="G190" s="5" t="n">
        <v>80</v>
      </c>
      <c r="H190" s="6" t="n">
        <v>1.0237</v>
      </c>
      <c r="I190" s="6" t="n">
        <v>0.22</v>
      </c>
      <c r="J190" s="5" t="n">
        <v>17.6</v>
      </c>
      <c r="K190" s="6" t="n">
        <v>0.6643</v>
      </c>
      <c r="L190" s="5" t="n">
        <v>11.16</v>
      </c>
      <c r="M190" s="5" t="n">
        <v>64.3</v>
      </c>
      <c r="N190" s="4" t="str">
        <f aca="false">IF(ABS(G190*I190-J190)&lt;=0.011,"OK","CHECK")</f>
        <v>OK</v>
      </c>
      <c r="O190" s="4" t="str">
        <f aca="false">IF(ABS(ROUND(G190*H190-J190,2)-M190)&lt;=0.011,"OK","CHECK")</f>
        <v>OK</v>
      </c>
      <c r="P190" s="4" t="str">
        <f aca="false">IF(ABS(ROUND(M190*21/121,2)-L190)&lt;=0.011,"OK","CHECK")</f>
        <v>OK</v>
      </c>
      <c r="Q190" s="4" t="str">
        <f aca="false">IF(ABS((M190-L190)/G190-K190)&lt;=0.0006,"OK","CHECK")</f>
        <v>OK</v>
      </c>
    </row>
    <row r="191" customFormat="false" ht="15" hidden="false" customHeight="true" outlineLevel="0" collapsed="false">
      <c r="A191" s="4" t="s">
        <v>189</v>
      </c>
      <c r="B191" s="4" t="s">
        <v>159</v>
      </c>
      <c r="C191" s="4" t="s">
        <v>212</v>
      </c>
      <c r="D191" s="4" t="s">
        <v>279</v>
      </c>
      <c r="E191" s="4" t="s">
        <v>8</v>
      </c>
      <c r="F191" s="4" t="s">
        <v>48</v>
      </c>
      <c r="G191" s="5" t="n">
        <v>120.01</v>
      </c>
      <c r="H191" s="6" t="n">
        <v>2.038</v>
      </c>
      <c r="I191" s="6" t="n">
        <v>0.23</v>
      </c>
      <c r="J191" s="5" t="n">
        <v>27.6</v>
      </c>
      <c r="K191" s="6" t="n">
        <v>1.4942</v>
      </c>
      <c r="L191" s="5" t="n">
        <v>37.66</v>
      </c>
      <c r="M191" s="5" t="n">
        <v>216.98</v>
      </c>
      <c r="N191" s="4" t="str">
        <f aca="false">IF(ABS(G191*I191-J191)&lt;=0.011,"OK","CHECK")</f>
        <v>OK</v>
      </c>
      <c r="O191" s="4" t="str">
        <f aca="false">IF(ABS(ROUND(G191*H191-J191,2)-M191)&lt;=0.011,"OK","CHECK")</f>
        <v>OK</v>
      </c>
      <c r="P191" s="4" t="str">
        <f aca="false">IF(ABS(ROUND(M191*21/121,2)-L191)&lt;=0.011,"OK","CHECK")</f>
        <v>OK</v>
      </c>
      <c r="Q191" s="4" t="str">
        <f aca="false">IF(ABS((M191-L191)/G191-K191)&lt;=0.0006,"OK","CHECK")</f>
        <v>OK</v>
      </c>
    </row>
    <row r="192" customFormat="false" ht="15" hidden="false" customHeight="true" outlineLevel="0" collapsed="false">
      <c r="A192" s="4" t="s">
        <v>189</v>
      </c>
      <c r="B192" s="4" t="s">
        <v>165</v>
      </c>
      <c r="C192" s="4" t="s">
        <v>194</v>
      </c>
      <c r="D192" s="4" t="s">
        <v>280</v>
      </c>
      <c r="E192" s="4" t="s">
        <v>8</v>
      </c>
      <c r="F192" s="4" t="s">
        <v>48</v>
      </c>
      <c r="G192" s="5" t="n">
        <v>480.01</v>
      </c>
      <c r="H192" s="6" t="n">
        <v>2.141</v>
      </c>
      <c r="I192" s="6" t="n">
        <v>0.23</v>
      </c>
      <c r="J192" s="5" t="n">
        <v>110.4</v>
      </c>
      <c r="K192" s="6" t="n">
        <v>1.5793</v>
      </c>
      <c r="L192" s="5" t="n">
        <v>159.2</v>
      </c>
      <c r="M192" s="5" t="n">
        <v>917.3</v>
      </c>
      <c r="N192" s="4" t="str">
        <f aca="false">IF(ABS(G192*I192-J192)&lt;=0.011,"OK","CHECK")</f>
        <v>OK</v>
      </c>
      <c r="O192" s="4" t="str">
        <f aca="false">IF(ABS(ROUND(G192*H192-J192,2)-M192)&lt;=0.011,"OK","CHECK")</f>
        <v>OK</v>
      </c>
      <c r="P192" s="4" t="str">
        <f aca="false">IF(ABS(ROUND(M192*21/121,2)-L192)&lt;=0.011,"OK","CHECK")</f>
        <v>OK</v>
      </c>
      <c r="Q192" s="4" t="str">
        <f aca="false">IF(ABS((M192-L192)/G192-K192)&lt;=0.0006,"OK","CHECK")</f>
        <v>OK</v>
      </c>
    </row>
    <row r="193" customFormat="false" ht="15" hidden="false" customHeight="true" outlineLevel="0" collapsed="false">
      <c r="A193" s="4" t="s">
        <v>189</v>
      </c>
      <c r="B193" s="4" t="s">
        <v>165</v>
      </c>
      <c r="C193" s="4" t="s">
        <v>194</v>
      </c>
      <c r="D193" s="4" t="s">
        <v>281</v>
      </c>
      <c r="E193" s="4" t="s">
        <v>8</v>
      </c>
      <c r="F193" s="4" t="s">
        <v>50</v>
      </c>
      <c r="G193" s="5" t="n">
        <v>50.96</v>
      </c>
      <c r="H193" s="6" t="n">
        <v>1.0237</v>
      </c>
      <c r="I193" s="6" t="n">
        <v>0.22</v>
      </c>
      <c r="J193" s="5" t="n">
        <v>11.21</v>
      </c>
      <c r="K193" s="6" t="n">
        <v>0.6642</v>
      </c>
      <c r="L193" s="5" t="n">
        <v>7.11</v>
      </c>
      <c r="M193" s="5" t="n">
        <v>40.96</v>
      </c>
      <c r="N193" s="4" t="str">
        <f aca="false">IF(ABS(G193*I193-J193)&lt;=0.011,"OK","CHECK")</f>
        <v>OK</v>
      </c>
      <c r="O193" s="4" t="str">
        <f aca="false">IF(ABS(ROUND(G193*H193-J193,2)-M193)&lt;=0.011,"OK","CHECK")</f>
        <v>OK</v>
      </c>
      <c r="P193" s="4" t="str">
        <f aca="false">IF(ABS(ROUND(M193*21/121,2)-L193)&lt;=0.011,"OK","CHECK")</f>
        <v>OK</v>
      </c>
      <c r="Q193" s="4" t="str">
        <f aca="false">IF(ABS((M193-L193)/G193-K193)&lt;=0.0006,"OK","CHECK")</f>
        <v>OK</v>
      </c>
    </row>
    <row r="194" customFormat="false" ht="15" hidden="false" customHeight="true" outlineLevel="0" collapsed="false">
      <c r="A194" s="4" t="s">
        <v>189</v>
      </c>
      <c r="B194" s="4" t="s">
        <v>165</v>
      </c>
      <c r="C194" s="4" t="s">
        <v>258</v>
      </c>
      <c r="D194" s="4" t="s">
        <v>282</v>
      </c>
      <c r="E194" s="4" t="s">
        <v>283</v>
      </c>
      <c r="F194" s="4" t="s">
        <v>284</v>
      </c>
      <c r="G194" s="5" t="n">
        <v>1</v>
      </c>
      <c r="H194" s="6" t="n">
        <v>36.66</v>
      </c>
      <c r="I194" s="6" t="n">
        <v>0</v>
      </c>
      <c r="J194" s="5" t="n">
        <v>0</v>
      </c>
      <c r="K194" s="6" t="n">
        <v>30.3</v>
      </c>
      <c r="L194" s="5" t="n">
        <v>6.36</v>
      </c>
      <c r="M194" s="5" t="n">
        <v>36.66</v>
      </c>
      <c r="N194" s="4" t="str">
        <f aca="false">IF(ABS(G194*I194-J194)&lt;=0.011,"OK","CHECK")</f>
        <v>OK</v>
      </c>
      <c r="O194" s="4" t="str">
        <f aca="false">IF(ABS(ROUND(G194*H194-J194,2)-M194)&lt;=0.011,"OK","CHECK")</f>
        <v>OK</v>
      </c>
      <c r="P194" s="4" t="str">
        <f aca="false">IF(ABS(ROUND(M194*21/121,2)-L194)&lt;=0.011,"OK","CHECK")</f>
        <v>OK</v>
      </c>
      <c r="Q194" s="4" t="str">
        <f aca="false">IF(ABS((M194-L194)/G194-K194)&lt;=0.0006,"OK","CHECK")</f>
        <v>OK</v>
      </c>
    </row>
    <row r="195" customFormat="false" ht="15" hidden="false" customHeight="true" outlineLevel="0" collapsed="false">
      <c r="A195" s="4" t="s">
        <v>189</v>
      </c>
      <c r="B195" s="4" t="s">
        <v>165</v>
      </c>
      <c r="C195" s="4" t="s">
        <v>212</v>
      </c>
      <c r="D195" s="4" t="s">
        <v>285</v>
      </c>
      <c r="E195" s="4" t="s">
        <v>12</v>
      </c>
      <c r="F195" s="4" t="s">
        <v>48</v>
      </c>
      <c r="G195" s="5" t="n">
        <v>400.01</v>
      </c>
      <c r="H195" s="6" t="n">
        <v>2.038</v>
      </c>
      <c r="I195" s="6" t="n">
        <v>0.23</v>
      </c>
      <c r="J195" s="5" t="n">
        <v>92</v>
      </c>
      <c r="K195" s="6" t="n">
        <v>1.4942</v>
      </c>
      <c r="L195" s="5" t="n">
        <v>125.52</v>
      </c>
      <c r="M195" s="5" t="n">
        <v>723.22</v>
      </c>
      <c r="N195" s="4" t="str">
        <f aca="false">IF(ABS(G195*I195-J195)&lt;=0.011,"OK","CHECK")</f>
        <v>OK</v>
      </c>
      <c r="O195" s="4" t="str">
        <f aca="false">IF(ABS(ROUND(G195*H195-J195,2)-M195)&lt;=0.011,"OK","CHECK")</f>
        <v>OK</v>
      </c>
      <c r="P195" s="4" t="str">
        <f aca="false">IF(ABS(ROUND(M195*21/121,2)-L195)&lt;=0.011,"OK","CHECK")</f>
        <v>OK</v>
      </c>
      <c r="Q195" s="4" t="str">
        <f aca="false">IF(ABS((M195-L195)/G195-K195)&lt;=0.0006,"OK","CHECK")</f>
        <v>OK</v>
      </c>
    </row>
    <row r="196" customFormat="false" ht="15" hidden="false" customHeight="true" outlineLevel="0" collapsed="false">
      <c r="A196" s="4" t="s">
        <v>189</v>
      </c>
      <c r="B196" s="4" t="s">
        <v>165</v>
      </c>
      <c r="C196" s="4" t="s">
        <v>212</v>
      </c>
      <c r="D196" s="4" t="s">
        <v>286</v>
      </c>
      <c r="E196" s="4" t="s">
        <v>12</v>
      </c>
      <c r="F196" s="4" t="s">
        <v>48</v>
      </c>
      <c r="G196" s="5" t="n">
        <v>300.02</v>
      </c>
      <c r="H196" s="6" t="n">
        <v>2.038</v>
      </c>
      <c r="I196" s="6" t="n">
        <v>0.23</v>
      </c>
      <c r="J196" s="5" t="n">
        <v>69</v>
      </c>
      <c r="K196" s="6" t="n">
        <v>1.4942</v>
      </c>
      <c r="L196" s="5" t="n">
        <v>94.14</v>
      </c>
      <c r="M196" s="5" t="n">
        <v>542.44</v>
      </c>
      <c r="N196" s="4" t="str">
        <f aca="false">IF(ABS(G196*I196-J196)&lt;=0.011,"OK","CHECK")</f>
        <v>OK</v>
      </c>
      <c r="O196" s="4" t="str">
        <f aca="false">IF(ABS(ROUND(G196*H196-J196,2)-M196)&lt;=0.011,"OK","CHECK")</f>
        <v>OK</v>
      </c>
      <c r="P196" s="4" t="str">
        <f aca="false">IF(ABS(ROUND(M196*21/121,2)-L196)&lt;=0.011,"OK","CHECK")</f>
        <v>OK</v>
      </c>
      <c r="Q196" s="4" t="str">
        <f aca="false">IF(ABS((M196-L196)/G196-K196)&lt;=0.0006,"OK","CHECK")</f>
        <v>OK</v>
      </c>
    </row>
    <row r="197" customFormat="false" ht="15" hidden="false" customHeight="true" outlineLevel="0" collapsed="false">
      <c r="A197" s="4" t="s">
        <v>189</v>
      </c>
      <c r="B197" s="4" t="s">
        <v>165</v>
      </c>
      <c r="C197" s="4" t="s">
        <v>212</v>
      </c>
      <c r="D197" s="4" t="s">
        <v>287</v>
      </c>
      <c r="E197" s="4" t="s">
        <v>12</v>
      </c>
      <c r="F197" s="4" t="s">
        <v>50</v>
      </c>
      <c r="G197" s="5" t="n">
        <v>73.98</v>
      </c>
      <c r="H197" s="6" t="n">
        <v>1.4738</v>
      </c>
      <c r="I197" s="6" t="n">
        <v>0.6</v>
      </c>
      <c r="J197" s="5" t="n">
        <v>44.39</v>
      </c>
      <c r="K197" s="6" t="n">
        <v>0.7221</v>
      </c>
      <c r="L197" s="5" t="n">
        <v>11.22</v>
      </c>
      <c r="M197" s="5" t="n">
        <v>64.64</v>
      </c>
      <c r="N197" s="4" t="str">
        <f aca="false">IF(ABS(G197*I197-J197)&lt;=0.011,"OK","CHECK")</f>
        <v>OK</v>
      </c>
      <c r="O197" s="4" t="str">
        <f aca="false">IF(ABS(ROUND(G197*H197-J197,2)-M197)&lt;=0.011,"OK","CHECK")</f>
        <v>OK</v>
      </c>
      <c r="P197" s="4" t="str">
        <f aca="false">IF(ABS(ROUND(M197*21/121,2)-L197)&lt;=0.011,"OK","CHECK")</f>
        <v>OK</v>
      </c>
      <c r="Q197" s="4" t="str">
        <f aca="false">IF(ABS((M197-L197)/G197-K197)&lt;=0.0006,"OK","CHECK")</f>
        <v>OK</v>
      </c>
    </row>
    <row r="198" customFormat="false" ht="15" hidden="false" customHeight="true" outlineLevel="0" collapsed="false">
      <c r="A198" s="4" t="s">
        <v>189</v>
      </c>
      <c r="B198" s="4" t="s">
        <v>288</v>
      </c>
      <c r="C198" s="4" t="s">
        <v>200</v>
      </c>
      <c r="D198" s="4" t="s">
        <v>289</v>
      </c>
      <c r="E198" s="4" t="s">
        <v>13</v>
      </c>
      <c r="F198" s="4" t="s">
        <v>48</v>
      </c>
      <c r="G198" s="5" t="n">
        <v>79.63</v>
      </c>
      <c r="H198" s="6" t="n">
        <v>2.116</v>
      </c>
      <c r="I198" s="6" t="n">
        <v>0.105</v>
      </c>
      <c r="J198" s="5" t="n">
        <v>8.36</v>
      </c>
      <c r="K198" s="6" t="n">
        <v>1.6621</v>
      </c>
      <c r="L198" s="5" t="n">
        <v>27.79</v>
      </c>
      <c r="M198" s="5" t="n">
        <v>160.14</v>
      </c>
      <c r="N198" s="4" t="str">
        <f aca="false">IF(ABS(G198*I198-J198)&lt;=0.011,"OK","CHECK")</f>
        <v>OK</v>
      </c>
      <c r="O198" s="4" t="str">
        <f aca="false">IF(ABS(ROUND(G198*H198-J198,2)-M198)&lt;=0.011,"OK","CHECK")</f>
        <v>OK</v>
      </c>
      <c r="P198" s="4" t="str">
        <f aca="false">IF(ABS(ROUND(M198*21/121,2)-L198)&lt;=0.011,"OK","CHECK")</f>
        <v>OK</v>
      </c>
      <c r="Q198" s="4" t="str">
        <f aca="false">IF(ABS((M198-L198)/G198-K198)&lt;=0.0006,"OK","CHECK")</f>
        <v>OK</v>
      </c>
    </row>
    <row r="199" customFormat="false" ht="15" hidden="false" customHeight="true" outlineLevel="0" collapsed="false">
      <c r="A199" s="4" t="s">
        <v>189</v>
      </c>
      <c r="B199" s="4" t="s">
        <v>170</v>
      </c>
      <c r="C199" s="4" t="s">
        <v>232</v>
      </c>
      <c r="D199" s="4" t="s">
        <v>290</v>
      </c>
      <c r="E199" s="4" t="s">
        <v>8</v>
      </c>
      <c r="F199" s="4" t="s">
        <v>50</v>
      </c>
      <c r="G199" s="5" t="n">
        <v>32</v>
      </c>
      <c r="H199" s="6" t="n">
        <v>1.0237</v>
      </c>
      <c r="I199" s="6" t="n">
        <v>0.22</v>
      </c>
      <c r="J199" s="5" t="n">
        <v>7.04</v>
      </c>
      <c r="K199" s="6" t="n">
        <v>0.6644</v>
      </c>
      <c r="L199" s="5" t="n">
        <v>4.46</v>
      </c>
      <c r="M199" s="5" t="n">
        <v>25.72</v>
      </c>
      <c r="N199" s="4" t="str">
        <f aca="false">IF(ABS(G199*I199-J199)&lt;=0.011,"OK","CHECK")</f>
        <v>OK</v>
      </c>
      <c r="O199" s="4" t="str">
        <f aca="false">IF(ABS(ROUND(G199*H199-J199,2)-M199)&lt;=0.011,"OK","CHECK")</f>
        <v>OK</v>
      </c>
      <c r="P199" s="4" t="str">
        <f aca="false">IF(ABS(ROUND(M199*21/121,2)-L199)&lt;=0.011,"OK","CHECK")</f>
        <v>OK</v>
      </c>
      <c r="Q199" s="4" t="str">
        <f aca="false">IF(ABS((M199-L199)/G199-K199)&lt;=0.0006,"OK","CHECK")</f>
        <v>OK</v>
      </c>
    </row>
    <row r="200" customFormat="false" ht="15" hidden="false" customHeight="true" outlineLevel="0" collapsed="false">
      <c r="A200" s="4" t="s">
        <v>189</v>
      </c>
      <c r="B200" s="4" t="s">
        <v>176</v>
      </c>
      <c r="C200" s="4" t="s">
        <v>190</v>
      </c>
      <c r="D200" s="4" t="s">
        <v>291</v>
      </c>
      <c r="E200" s="4" t="s">
        <v>8</v>
      </c>
      <c r="F200" s="4" t="s">
        <v>48</v>
      </c>
      <c r="G200" s="5" t="n">
        <v>290.18</v>
      </c>
      <c r="H200" s="6" t="n">
        <v>2.116</v>
      </c>
      <c r="I200" s="6" t="n">
        <v>0.23</v>
      </c>
      <c r="J200" s="5" t="n">
        <v>66.74</v>
      </c>
      <c r="K200" s="6" t="n">
        <v>1.5587</v>
      </c>
      <c r="L200" s="5" t="n">
        <v>94.98</v>
      </c>
      <c r="M200" s="5" t="n">
        <v>547.28</v>
      </c>
      <c r="N200" s="4" t="str">
        <f aca="false">IF(ABS(G200*I200-J200)&lt;=0.011,"OK","CHECK")</f>
        <v>OK</v>
      </c>
      <c r="O200" s="4" t="str">
        <f aca="false">IF(ABS(ROUND(G200*H200-J200,2)-M200)&lt;=0.011,"OK","CHECK")</f>
        <v>OK</v>
      </c>
      <c r="P200" s="4" t="str">
        <f aca="false">IF(ABS(ROUND(M200*21/121,2)-L200)&lt;=0.011,"OK","CHECK")</f>
        <v>OK</v>
      </c>
      <c r="Q200" s="4" t="str">
        <f aca="false">IF(ABS((M200-L200)/G200-K200)&lt;=0.0006,"OK","CHECK")</f>
        <v>OK</v>
      </c>
    </row>
    <row r="201" customFormat="false" ht="15" hidden="false" customHeight="true" outlineLevel="0" collapsed="false">
      <c r="A201" s="4" t="s">
        <v>189</v>
      </c>
      <c r="B201" s="4" t="s">
        <v>176</v>
      </c>
      <c r="C201" s="4" t="s">
        <v>190</v>
      </c>
      <c r="D201" s="4" t="s">
        <v>292</v>
      </c>
      <c r="E201" s="4" t="s">
        <v>8</v>
      </c>
      <c r="F201" s="4" t="s">
        <v>50</v>
      </c>
      <c r="G201" s="5" t="n">
        <v>29.33</v>
      </c>
      <c r="H201" s="6" t="n">
        <v>1.0237</v>
      </c>
      <c r="I201" s="6" t="n">
        <v>0.22</v>
      </c>
      <c r="J201" s="5" t="n">
        <v>6.45</v>
      </c>
      <c r="K201" s="6" t="n">
        <v>0.6645</v>
      </c>
      <c r="L201" s="5" t="n">
        <v>4.09</v>
      </c>
      <c r="M201" s="5" t="n">
        <v>23.58</v>
      </c>
      <c r="N201" s="4" t="str">
        <f aca="false">IF(ABS(G201*I201-J201)&lt;=0.011,"OK","CHECK")</f>
        <v>OK</v>
      </c>
      <c r="O201" s="4" t="str">
        <f aca="false">IF(ABS(ROUND(G201*H201-J201,2)-M201)&lt;=0.011,"OK","CHECK")</f>
        <v>OK</v>
      </c>
      <c r="P201" s="4" t="str">
        <f aca="false">IF(ABS(ROUND(M201*21/121,2)-L201)&lt;=0.011,"OK","CHECK")</f>
        <v>OK</v>
      </c>
      <c r="Q201" s="4" t="str">
        <f aca="false">IF(ABS((M201-L201)/G201-K201)&lt;=0.0006,"OK","CHECK")</f>
        <v>OK</v>
      </c>
    </row>
    <row r="202" customFormat="false" ht="15" hidden="false" customHeight="true" outlineLevel="0" collapsed="false">
      <c r="A202" s="4" t="s">
        <v>189</v>
      </c>
      <c r="B202" s="4" t="s">
        <v>176</v>
      </c>
      <c r="C202" s="4" t="s">
        <v>194</v>
      </c>
      <c r="D202" s="4" t="s">
        <v>293</v>
      </c>
      <c r="E202" s="4" t="s">
        <v>8</v>
      </c>
      <c r="F202" s="4" t="s">
        <v>48</v>
      </c>
      <c r="G202" s="5" t="n">
        <v>322.03</v>
      </c>
      <c r="H202" s="6" t="n">
        <v>2.141</v>
      </c>
      <c r="I202" s="6" t="n">
        <v>0.23</v>
      </c>
      <c r="J202" s="5" t="n">
        <v>74.07</v>
      </c>
      <c r="K202" s="6" t="n">
        <v>1.5794</v>
      </c>
      <c r="L202" s="5" t="n">
        <v>106.8</v>
      </c>
      <c r="M202" s="5" t="n">
        <v>615.4</v>
      </c>
      <c r="N202" s="4" t="str">
        <f aca="false">IF(ABS(G202*I202-J202)&lt;=0.011,"OK","CHECK")</f>
        <v>OK</v>
      </c>
      <c r="O202" s="4" t="str">
        <f aca="false">IF(ABS(ROUND(G202*H202-J202,2)-M202)&lt;=0.011,"OK","CHECK")</f>
        <v>OK</v>
      </c>
      <c r="P202" s="4" t="str">
        <f aca="false">IF(ABS(ROUND(M202*21/121,2)-L202)&lt;=0.011,"OK","CHECK")</f>
        <v>OK</v>
      </c>
      <c r="Q202" s="4" t="str">
        <f aca="false">IF(ABS((M202-L202)/G202-K202)&lt;=0.0006,"OK","CHECK")</f>
        <v>OK</v>
      </c>
    </row>
    <row r="203" customFormat="false" ht="15" hidden="false" customHeight="true" outlineLevel="0" collapsed="false">
      <c r="A203" s="4" t="s">
        <v>189</v>
      </c>
      <c r="B203" s="4" t="s">
        <v>176</v>
      </c>
      <c r="C203" s="4" t="s">
        <v>194</v>
      </c>
      <c r="D203" s="4" t="s">
        <v>294</v>
      </c>
      <c r="E203" s="4" t="s">
        <v>8</v>
      </c>
      <c r="F203" s="4" t="s">
        <v>50</v>
      </c>
      <c r="G203" s="5" t="n">
        <v>17.08</v>
      </c>
      <c r="H203" s="6" t="n">
        <v>1.0237</v>
      </c>
      <c r="I203" s="6" t="n">
        <v>0.22</v>
      </c>
      <c r="J203" s="5" t="n">
        <v>3.76</v>
      </c>
      <c r="K203" s="6" t="n">
        <v>0.6639</v>
      </c>
      <c r="L203" s="5" t="n">
        <v>2.38</v>
      </c>
      <c r="M203" s="5" t="n">
        <v>13.72</v>
      </c>
      <c r="N203" s="4" t="str">
        <f aca="false">IF(ABS(G203*I203-J203)&lt;=0.011,"OK","CHECK")</f>
        <v>OK</v>
      </c>
      <c r="O203" s="4" t="str">
        <f aca="false">IF(ABS(ROUND(G203*H203-J203,2)-M203)&lt;=0.011,"OK","CHECK")</f>
        <v>OK</v>
      </c>
      <c r="P203" s="4" t="str">
        <f aca="false">IF(ABS(ROUND(M203*21/121,2)-L203)&lt;=0.011,"OK","CHECK")</f>
        <v>OK</v>
      </c>
      <c r="Q203" s="4" t="str">
        <f aca="false">IF(ABS((M203-L203)/G203-K203)&lt;=0.0006,"OK","CHECK")</f>
        <v>OK</v>
      </c>
    </row>
    <row r="204" customFormat="false" ht="15" hidden="false" customHeight="true" outlineLevel="0" collapsed="false">
      <c r="A204" s="4" t="s">
        <v>189</v>
      </c>
      <c r="B204" s="4" t="s">
        <v>176</v>
      </c>
      <c r="C204" s="4" t="s">
        <v>197</v>
      </c>
      <c r="D204" s="4" t="s">
        <v>295</v>
      </c>
      <c r="E204" s="4" t="s">
        <v>8</v>
      </c>
      <c r="F204" s="4" t="s">
        <v>48</v>
      </c>
      <c r="G204" s="5" t="n">
        <v>619.04</v>
      </c>
      <c r="H204" s="6" t="n">
        <v>2.038</v>
      </c>
      <c r="I204" s="6" t="n">
        <v>0.23</v>
      </c>
      <c r="J204" s="5" t="n">
        <v>142.38</v>
      </c>
      <c r="K204" s="6" t="n">
        <v>1.4942</v>
      </c>
      <c r="L204" s="5" t="n">
        <v>194.24</v>
      </c>
      <c r="M204" s="5" t="n">
        <v>1119.22</v>
      </c>
      <c r="N204" s="4" t="str">
        <f aca="false">IF(ABS(G204*I204-J204)&lt;=0.011,"OK","CHECK")</f>
        <v>OK</v>
      </c>
      <c r="O204" s="4" t="str">
        <f aca="false">IF(ABS(ROUND(G204*H204-J204,2)-M204)&lt;=0.011,"OK","CHECK")</f>
        <v>OK</v>
      </c>
      <c r="P204" s="4" t="str">
        <f aca="false">IF(ABS(ROUND(M204*21/121,2)-L204)&lt;=0.011,"OK","CHECK")</f>
        <v>OK</v>
      </c>
      <c r="Q204" s="4" t="str">
        <f aca="false">IF(ABS((M204-L204)/G204-K204)&lt;=0.0006,"OK","CHECK")</f>
        <v>OK</v>
      </c>
    </row>
    <row r="205" customFormat="false" ht="15" hidden="false" customHeight="true" outlineLevel="0" collapsed="false">
      <c r="A205" s="4" t="s">
        <v>189</v>
      </c>
      <c r="B205" s="4" t="s">
        <v>176</v>
      </c>
      <c r="C205" s="4" t="s">
        <v>197</v>
      </c>
      <c r="D205" s="4" t="s">
        <v>296</v>
      </c>
      <c r="E205" s="4" t="s">
        <v>8</v>
      </c>
      <c r="F205" s="4" t="s">
        <v>50</v>
      </c>
      <c r="G205" s="5" t="n">
        <v>35.45</v>
      </c>
      <c r="H205" s="6" t="n">
        <v>1.0237</v>
      </c>
      <c r="I205" s="6" t="n">
        <v>0.22</v>
      </c>
      <c r="J205" s="5" t="n">
        <v>7.8</v>
      </c>
      <c r="K205" s="6" t="n">
        <v>0.6643</v>
      </c>
      <c r="L205" s="5" t="n">
        <v>4.94</v>
      </c>
      <c r="M205" s="5" t="n">
        <v>28.49</v>
      </c>
      <c r="N205" s="4" t="str">
        <f aca="false">IF(ABS(G205*I205-J205)&lt;=0.011,"OK","CHECK")</f>
        <v>OK</v>
      </c>
      <c r="O205" s="4" t="str">
        <f aca="false">IF(ABS(ROUND(G205*H205-J205,2)-M205)&lt;=0.011,"OK","CHECK")</f>
        <v>OK</v>
      </c>
      <c r="P205" s="4" t="str">
        <f aca="false">IF(ABS(ROUND(M205*21/121,2)-L205)&lt;=0.011,"OK","CHECK")</f>
        <v>OK</v>
      </c>
      <c r="Q205" s="4" t="str">
        <f aca="false">IF(ABS((M205-L205)/G205-K205)&lt;=0.0006,"OK","CHECK")</f>
        <v>OK</v>
      </c>
    </row>
    <row r="206" customFormat="false" ht="15" hidden="false" customHeight="true" outlineLevel="0" collapsed="false">
      <c r="A206" s="4" t="s">
        <v>189</v>
      </c>
      <c r="B206" s="4" t="s">
        <v>297</v>
      </c>
      <c r="C206" s="4" t="s">
        <v>206</v>
      </c>
      <c r="D206" s="4" t="s">
        <v>298</v>
      </c>
      <c r="E206" s="4" t="s">
        <v>8</v>
      </c>
      <c r="F206" s="4" t="s">
        <v>48</v>
      </c>
      <c r="G206" s="5" t="n">
        <v>728.13</v>
      </c>
      <c r="H206" s="6" t="n">
        <v>2.192</v>
      </c>
      <c r="I206" s="6" t="n">
        <v>0.23</v>
      </c>
      <c r="J206" s="5" t="n">
        <v>167.47</v>
      </c>
      <c r="K206" s="6" t="n">
        <v>1.6215</v>
      </c>
      <c r="L206" s="5" t="n">
        <v>247.94</v>
      </c>
      <c r="M206" s="5" t="n">
        <v>1428.59</v>
      </c>
      <c r="N206" s="4" t="str">
        <f aca="false">IF(ABS(G206*I206-J206)&lt;=0.011,"OK","CHECK")</f>
        <v>OK</v>
      </c>
      <c r="O206" s="4" t="str">
        <f aca="false">IF(ABS(ROUND(G206*H206-J206,2)-M206)&lt;=0.011,"OK","CHECK")</f>
        <v>OK</v>
      </c>
      <c r="P206" s="4" t="str">
        <f aca="false">IF(ABS(ROUND(M206*21/121,2)-L206)&lt;=0.011,"OK","CHECK")</f>
        <v>OK</v>
      </c>
      <c r="Q206" s="4" t="str">
        <f aca="false">IF(ABS((M206-L206)/G206-K206)&lt;=0.0006,"OK","CHECK")</f>
        <v>OK</v>
      </c>
    </row>
    <row r="207" customFormat="false" ht="15" hidden="false" customHeight="true" outlineLevel="0" collapsed="false">
      <c r="A207" s="4" t="s">
        <v>189</v>
      </c>
      <c r="B207" s="4" t="s">
        <v>297</v>
      </c>
      <c r="C207" s="4" t="s">
        <v>206</v>
      </c>
      <c r="D207" s="4" t="s">
        <v>299</v>
      </c>
      <c r="E207" s="4" t="s">
        <v>8</v>
      </c>
      <c r="F207" s="4" t="s">
        <v>50</v>
      </c>
      <c r="G207" s="5" t="n">
        <v>44</v>
      </c>
      <c r="H207" s="6" t="n">
        <v>1.0237</v>
      </c>
      <c r="I207" s="6" t="n">
        <v>0.22</v>
      </c>
      <c r="J207" s="5" t="n">
        <v>9.68</v>
      </c>
      <c r="K207" s="6" t="n">
        <v>0.6641</v>
      </c>
      <c r="L207" s="5" t="n">
        <v>6.14</v>
      </c>
      <c r="M207" s="5" t="n">
        <v>35.36</v>
      </c>
      <c r="N207" s="4" t="str">
        <f aca="false">IF(ABS(G207*I207-J207)&lt;=0.011,"OK","CHECK")</f>
        <v>OK</v>
      </c>
      <c r="O207" s="4" t="str">
        <f aca="false">IF(ABS(ROUND(G207*H207-J207,2)-M207)&lt;=0.011,"OK","CHECK")</f>
        <v>OK</v>
      </c>
      <c r="P207" s="4" t="str">
        <f aca="false">IF(ABS(ROUND(M207*21/121,2)-L207)&lt;=0.011,"OK","CHECK")</f>
        <v>OK</v>
      </c>
      <c r="Q207" s="4" t="str">
        <f aca="false">IF(ABS((M207-L207)/G207-K207)&lt;=0.0006,"OK","CHECK")</f>
        <v>OK</v>
      </c>
    </row>
    <row r="208" customFormat="false" ht="15" hidden="false" customHeight="true" outlineLevel="0" collapsed="false">
      <c r="A208" s="4" t="s">
        <v>189</v>
      </c>
      <c r="B208" s="4" t="s">
        <v>297</v>
      </c>
      <c r="C208" s="4" t="s">
        <v>258</v>
      </c>
      <c r="D208" s="4" t="s">
        <v>300</v>
      </c>
      <c r="E208" s="4" t="s">
        <v>8</v>
      </c>
      <c r="F208" s="4" t="s">
        <v>48</v>
      </c>
      <c r="G208" s="5" t="n">
        <v>670.01</v>
      </c>
      <c r="H208" s="6" t="n">
        <v>2.141</v>
      </c>
      <c r="I208" s="6" t="n">
        <v>0.23</v>
      </c>
      <c r="J208" s="5" t="n">
        <v>154.1</v>
      </c>
      <c r="K208" s="6" t="n">
        <v>1.5793</v>
      </c>
      <c r="L208" s="5" t="n">
        <v>222.22</v>
      </c>
      <c r="M208" s="5" t="n">
        <v>1280.39</v>
      </c>
      <c r="N208" s="4" t="str">
        <f aca="false">IF(ABS(G208*I208-J208)&lt;=0.011,"OK","CHECK")</f>
        <v>OK</v>
      </c>
      <c r="O208" s="4" t="str">
        <f aca="false">IF(ABS(ROUND(G208*H208-J208,2)-M208)&lt;=0.011,"OK","CHECK")</f>
        <v>OK</v>
      </c>
      <c r="P208" s="4" t="str">
        <f aca="false">IF(ABS(ROUND(M208*21/121,2)-L208)&lt;=0.011,"OK","CHECK")</f>
        <v>OK</v>
      </c>
      <c r="Q208" s="4" t="str">
        <f aca="false">IF(ABS((M208-L208)/G208-K208)&lt;=0.0006,"OK","CHECK")</f>
        <v>OK</v>
      </c>
    </row>
    <row r="209" customFormat="false" ht="15" hidden="false" customHeight="true" outlineLevel="0" collapsed="false">
      <c r="A209" s="4" t="s">
        <v>189</v>
      </c>
      <c r="B209" s="4" t="s">
        <v>297</v>
      </c>
      <c r="C209" s="4" t="s">
        <v>258</v>
      </c>
      <c r="D209" s="4" t="s">
        <v>301</v>
      </c>
      <c r="E209" s="4" t="s">
        <v>8</v>
      </c>
      <c r="F209" s="4" t="s">
        <v>50</v>
      </c>
      <c r="G209" s="5" t="n">
        <v>39.07</v>
      </c>
      <c r="H209" s="6" t="n">
        <v>1.0237</v>
      </c>
      <c r="I209" s="6" t="n">
        <v>0.22</v>
      </c>
      <c r="J209" s="5" t="n">
        <v>8.6</v>
      </c>
      <c r="K209" s="6" t="n">
        <v>0.6642</v>
      </c>
      <c r="L209" s="5" t="n">
        <v>5.45</v>
      </c>
      <c r="M209" s="5" t="n">
        <v>31.4</v>
      </c>
      <c r="N209" s="4" t="str">
        <f aca="false">IF(ABS(G209*I209-J209)&lt;=0.011,"OK","CHECK")</f>
        <v>OK</v>
      </c>
      <c r="O209" s="4" t="str">
        <f aca="false">IF(ABS(ROUND(G209*H209-J209,2)-M209)&lt;=0.011,"OK","CHECK")</f>
        <v>OK</v>
      </c>
      <c r="P209" s="4" t="str">
        <f aca="false">IF(ABS(ROUND(M209*21/121,2)-L209)&lt;=0.011,"OK","CHECK")</f>
        <v>OK</v>
      </c>
      <c r="Q209" s="4" t="str">
        <f aca="false">IF(ABS((M209-L209)/G209-K209)&lt;=0.0006,"OK","CHECK")</f>
        <v>OK</v>
      </c>
    </row>
    <row r="210" customFormat="false" ht="15" hidden="false" customHeight="true" outlineLevel="0" collapsed="false">
      <c r="A210" s="4" t="s">
        <v>189</v>
      </c>
      <c r="B210" s="4" t="s">
        <v>181</v>
      </c>
      <c r="C210" s="4" t="s">
        <v>190</v>
      </c>
      <c r="D210" s="4" t="s">
        <v>302</v>
      </c>
      <c r="E210" s="4" t="s">
        <v>8</v>
      </c>
      <c r="F210" s="4" t="s">
        <v>48</v>
      </c>
      <c r="G210" s="5" t="n">
        <v>541.93</v>
      </c>
      <c r="H210" s="6" t="n">
        <v>2.116</v>
      </c>
      <c r="I210" s="6" t="n">
        <v>0.23</v>
      </c>
      <c r="J210" s="5" t="n">
        <v>124.64</v>
      </c>
      <c r="K210" s="6" t="n">
        <v>1.5587</v>
      </c>
      <c r="L210" s="5" t="n">
        <v>177.39</v>
      </c>
      <c r="M210" s="5" t="n">
        <v>1022.08</v>
      </c>
      <c r="N210" s="4" t="str">
        <f aca="false">IF(ABS(G210*I210-J210)&lt;=0.011,"OK","CHECK")</f>
        <v>OK</v>
      </c>
      <c r="O210" s="4" t="str">
        <f aca="false">IF(ABS(ROUND(G210*H210-J210,2)-M210)&lt;=0.011,"OK","CHECK")</f>
        <v>OK</v>
      </c>
      <c r="P210" s="4" t="str">
        <f aca="false">IF(ABS(ROUND(M210*21/121,2)-L210)&lt;=0.011,"OK","CHECK")</f>
        <v>OK</v>
      </c>
      <c r="Q210" s="4" t="str">
        <f aca="false">IF(ABS((M210-L210)/G210-K210)&lt;=0.0006,"OK","CHECK")</f>
        <v>OK</v>
      </c>
    </row>
    <row r="211" customFormat="false" ht="15" hidden="false" customHeight="true" outlineLevel="0" collapsed="false">
      <c r="A211" s="4" t="s">
        <v>189</v>
      </c>
      <c r="B211" s="4" t="s">
        <v>181</v>
      </c>
      <c r="C211" s="4" t="s">
        <v>190</v>
      </c>
      <c r="D211" s="4" t="s">
        <v>303</v>
      </c>
      <c r="E211" s="4" t="s">
        <v>8</v>
      </c>
      <c r="F211" s="4" t="s">
        <v>50</v>
      </c>
      <c r="G211" s="5" t="n">
        <v>25.98</v>
      </c>
      <c r="H211" s="6" t="n">
        <v>1.0237</v>
      </c>
      <c r="I211" s="6" t="n">
        <v>0.22</v>
      </c>
      <c r="J211" s="5" t="n">
        <v>5.72</v>
      </c>
      <c r="K211" s="6" t="n">
        <v>0.6644</v>
      </c>
      <c r="L211" s="5" t="n">
        <v>3.62</v>
      </c>
      <c r="M211" s="5" t="n">
        <v>20.88</v>
      </c>
      <c r="N211" s="4" t="str">
        <f aca="false">IF(ABS(G211*I211-J211)&lt;=0.011,"OK","CHECK")</f>
        <v>OK</v>
      </c>
      <c r="O211" s="4" t="str">
        <f aca="false">IF(ABS(ROUND(G211*H211-J211,2)-M211)&lt;=0.011,"OK","CHECK")</f>
        <v>OK</v>
      </c>
      <c r="P211" s="4" t="str">
        <f aca="false">IF(ABS(ROUND(M211*21/121,2)-L211)&lt;=0.011,"OK","CHECK")</f>
        <v>OK</v>
      </c>
      <c r="Q211" s="4" t="str">
        <f aca="false">IF(ABS((M211-L211)/G211-K211)&lt;=0.0006,"OK","CHECK")</f>
        <v>OK</v>
      </c>
    </row>
    <row r="212" customFormat="false" ht="15" hidden="false" customHeight="true" outlineLevel="0" collapsed="false">
      <c r="A212" s="4" t="s">
        <v>189</v>
      </c>
      <c r="B212" s="4" t="s">
        <v>181</v>
      </c>
      <c r="C212" s="4" t="s">
        <v>232</v>
      </c>
      <c r="D212" s="4" t="s">
        <v>304</v>
      </c>
      <c r="E212" s="4" t="s">
        <v>8</v>
      </c>
      <c r="F212" s="4" t="s">
        <v>48</v>
      </c>
      <c r="G212" s="5" t="n">
        <v>747.83</v>
      </c>
      <c r="H212" s="6" t="n">
        <v>2.141</v>
      </c>
      <c r="I212" s="6" t="n">
        <v>0.23</v>
      </c>
      <c r="J212" s="5" t="n">
        <v>172</v>
      </c>
      <c r="K212" s="6" t="n">
        <v>1.5793</v>
      </c>
      <c r="L212" s="5" t="n">
        <v>248.03</v>
      </c>
      <c r="M212" s="5" t="n">
        <v>1429.1</v>
      </c>
      <c r="N212" s="4" t="str">
        <f aca="false">IF(ABS(G212*I212-J212)&lt;=0.011,"OK","CHECK")</f>
        <v>OK</v>
      </c>
      <c r="O212" s="4" t="str">
        <f aca="false">IF(ABS(ROUND(G212*H212-J212,2)-M212)&lt;=0.011,"OK","CHECK")</f>
        <v>OK</v>
      </c>
      <c r="P212" s="4" t="str">
        <f aca="false">IF(ABS(ROUND(M212*21/121,2)-L212)&lt;=0.011,"OK","CHECK")</f>
        <v>OK</v>
      </c>
      <c r="Q212" s="4" t="str">
        <f aca="false">IF(ABS((M212-L212)/G212-K212)&lt;=0.0006,"OK","CHECK")</f>
        <v>OK</v>
      </c>
    </row>
    <row r="213" customFormat="false" ht="15" hidden="false" customHeight="true" outlineLevel="0" collapsed="false">
      <c r="A213" s="4" t="s">
        <v>189</v>
      </c>
      <c r="B213" s="4" t="s">
        <v>181</v>
      </c>
      <c r="C213" s="4" t="s">
        <v>232</v>
      </c>
      <c r="D213" s="4" t="s">
        <v>305</v>
      </c>
      <c r="E213" s="4" t="s">
        <v>8</v>
      </c>
      <c r="F213" s="4" t="s">
        <v>48</v>
      </c>
      <c r="G213" s="5" t="n">
        <v>167.62</v>
      </c>
      <c r="H213" s="6" t="n">
        <v>2.141</v>
      </c>
      <c r="I213" s="6" t="n">
        <v>0.23</v>
      </c>
      <c r="J213" s="5" t="n">
        <v>38.55</v>
      </c>
      <c r="K213" s="6" t="n">
        <v>1.5793</v>
      </c>
      <c r="L213" s="5" t="n">
        <v>55.59</v>
      </c>
      <c r="M213" s="5" t="n">
        <v>320.32</v>
      </c>
      <c r="N213" s="4" t="str">
        <f aca="false">IF(ABS(G213*I213-J213)&lt;=0.011,"OK","CHECK")</f>
        <v>OK</v>
      </c>
      <c r="O213" s="4" t="str">
        <f aca="false">IF(ABS(ROUND(G213*H213-J213,2)-M213)&lt;=0.011,"OK","CHECK")</f>
        <v>OK</v>
      </c>
      <c r="P213" s="4" t="str">
        <f aca="false">IF(ABS(ROUND(M213*21/121,2)-L213)&lt;=0.011,"OK","CHECK")</f>
        <v>OK</v>
      </c>
      <c r="Q213" s="4" t="str">
        <f aca="false">IF(ABS((M213-L213)/G213-K213)&lt;=0.0006,"OK","CHECK")</f>
        <v>OK</v>
      </c>
    </row>
    <row r="214" customFormat="false" ht="15" hidden="false" customHeight="true" outlineLevel="0" collapsed="false">
      <c r="A214" s="4" t="s">
        <v>189</v>
      </c>
      <c r="B214" s="4" t="s">
        <v>181</v>
      </c>
      <c r="C214" s="4" t="s">
        <v>232</v>
      </c>
      <c r="D214" s="4" t="s">
        <v>306</v>
      </c>
      <c r="E214" s="4" t="s">
        <v>8</v>
      </c>
      <c r="F214" s="4" t="s">
        <v>50</v>
      </c>
      <c r="G214" s="5" t="n">
        <v>58.93</v>
      </c>
      <c r="H214" s="6" t="n">
        <v>1.0237</v>
      </c>
      <c r="I214" s="6" t="n">
        <v>0.22</v>
      </c>
      <c r="J214" s="5" t="n">
        <v>12.96</v>
      </c>
      <c r="K214" s="6" t="n">
        <v>0.6643</v>
      </c>
      <c r="L214" s="5" t="n">
        <v>8.22</v>
      </c>
      <c r="M214" s="5" t="n">
        <v>47.37</v>
      </c>
      <c r="N214" s="4" t="str">
        <f aca="false">IF(ABS(G214*I214-J214)&lt;=0.011,"OK","CHECK")</f>
        <v>OK</v>
      </c>
      <c r="O214" s="4" t="str">
        <f aca="false">IF(ABS(ROUND(G214*H214-J214,2)-M214)&lt;=0.011,"OK","CHECK")</f>
        <v>OK</v>
      </c>
      <c r="P214" s="4" t="str">
        <f aca="false">IF(ABS(ROUND(M214*21/121,2)-L214)&lt;=0.011,"OK","CHECK")</f>
        <v>OK</v>
      </c>
      <c r="Q214" s="4" t="str">
        <f aca="false">IF(ABS((M214-L214)/G214-K214)&lt;=0.0006,"OK","CHECK")</f>
        <v>OK</v>
      </c>
    </row>
    <row r="215" customFormat="false" ht="15" hidden="false" customHeight="true" outlineLevel="0" collapsed="false">
      <c r="A215" s="4" t="s">
        <v>189</v>
      </c>
      <c r="B215" s="4" t="s">
        <v>184</v>
      </c>
      <c r="C215" s="4" t="s">
        <v>194</v>
      </c>
      <c r="D215" s="4" t="s">
        <v>224</v>
      </c>
      <c r="E215" s="4" t="s">
        <v>8</v>
      </c>
      <c r="F215" s="4" t="s">
        <v>50</v>
      </c>
      <c r="G215" s="5" t="n">
        <v>34.06</v>
      </c>
      <c r="H215" s="6" t="n">
        <v>1.0237</v>
      </c>
      <c r="I215" s="6" t="n">
        <v>0.22</v>
      </c>
      <c r="J215" s="5" t="n">
        <v>7.49</v>
      </c>
      <c r="K215" s="6" t="n">
        <v>0.6644</v>
      </c>
      <c r="L215" s="5" t="n">
        <v>4.75</v>
      </c>
      <c r="M215" s="5" t="n">
        <v>27.38</v>
      </c>
      <c r="N215" s="4" t="str">
        <f aca="false">IF(ABS(G215*I215-J215)&lt;=0.011,"OK","CHECK")</f>
        <v>OK</v>
      </c>
      <c r="O215" s="4" t="str">
        <f aca="false">IF(ABS(ROUND(G215*H215-J215,2)-M215)&lt;=0.011,"OK","CHECK")</f>
        <v>OK</v>
      </c>
      <c r="P215" s="4" t="str">
        <f aca="false">IF(ABS(ROUND(M215*21/121,2)-L215)&lt;=0.011,"OK","CHECK")</f>
        <v>OK</v>
      </c>
      <c r="Q215" s="4" t="str">
        <f aca="false">IF(ABS((M215-L215)/G215-K215)&lt;=0.0006,"OK","CHECK")</f>
        <v>OK</v>
      </c>
    </row>
  </sheetData>
  <autoFilter ref="A1:Q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5"/>
    <col collapsed="false" customWidth="true" hidden="false" outlineLevel="0" max="4" min="4" style="1" width="9"/>
    <col collapsed="false" customWidth="true" hidden="false" outlineLevel="0" max="5" min="5" style="1" width="8"/>
  </cols>
  <sheetData>
    <row r="1" customFormat="false" ht="15" hidden="false" customHeight="true" outlineLevel="0" collapsed="false">
      <c r="A1" s="10" t="s">
        <v>307</v>
      </c>
      <c r="B1" s="10" t="s">
        <v>308</v>
      </c>
      <c r="C1" s="10" t="s">
        <v>309</v>
      </c>
      <c r="D1" s="10" t="s">
        <v>310</v>
      </c>
      <c r="E1" s="10" t="s">
        <v>311</v>
      </c>
    </row>
    <row r="2" customFormat="false" ht="15" hidden="false" customHeight="true" outlineLevel="0" collapsed="false">
      <c r="A2" s="4" t="s">
        <v>312</v>
      </c>
      <c r="B2" s="5" t="n">
        <v>22336.88</v>
      </c>
      <c r="C2" s="5" t="n">
        <f aca="false">ROUND(SUMPRODUCT((Transactions!$A$2:$A$215="BE98759")*(Transactions!$F$2:$F$215="Diesel")*Transactions!$G$2:$G$215),2)</f>
        <v>22336.88</v>
      </c>
      <c r="D2" s="5" t="n">
        <f aca="false">C2-B2</f>
        <v>0</v>
      </c>
      <c r="E2" s="4" t="str">
        <f aca="false">IF(ABS(D2)&lt;=0.01,"OK","CHECK")</f>
        <v>OK</v>
      </c>
    </row>
    <row r="3" customFormat="false" ht="15" hidden="false" customHeight="true" outlineLevel="0" collapsed="false">
      <c r="A3" s="4" t="s">
        <v>313</v>
      </c>
      <c r="B3" s="5" t="n">
        <v>4589.11</v>
      </c>
      <c r="C3" s="5" t="n">
        <f aca="false">ROUND(SUMPRODUCT((Transactions!$A$2:$A$215="BE98759")*(Transactions!$F$2:$F$215="Diesel")*Transactions!$J$2:$J$215),2)</f>
        <v>4589.11</v>
      </c>
      <c r="D3" s="5" t="n">
        <f aca="false">C3-B3</f>
        <v>0</v>
      </c>
      <c r="E3" s="4" t="str">
        <f aca="false">IF(ABS(D3)&lt;=0.02,"OK","CHECK")</f>
        <v>OK</v>
      </c>
    </row>
    <row r="4" customFormat="false" ht="15" hidden="false" customHeight="true" outlineLevel="0" collapsed="false">
      <c r="A4" s="4" t="s">
        <v>314</v>
      </c>
      <c r="B4" s="5" t="n">
        <v>36562.02</v>
      </c>
      <c r="C4" s="5" t="n">
        <f aca="false">ROUND(SUMPRODUCT((Transactions!$A$2:$A$215="BE98759")*(Transactions!$F$2:$F$215="Diesel")*(Transactions!$M$2:$M$215-Transactions!$L$2:$L$215)),2)</f>
        <v>36562.03</v>
      </c>
      <c r="D4" s="5" t="n">
        <f aca="false">C4-B4</f>
        <v>0.0100000000020373</v>
      </c>
      <c r="E4" s="4" t="str">
        <f aca="false">IF(ABS(D4)&lt;=0.05,"OK","CHECK")</f>
        <v>OK</v>
      </c>
    </row>
    <row r="5" customFormat="false" ht="15" hidden="false" customHeight="true" outlineLevel="0" collapsed="false">
      <c r="A5" s="4" t="s">
        <v>315</v>
      </c>
      <c r="B5" s="5" t="n">
        <v>2140.93</v>
      </c>
      <c r="C5" s="5" t="n">
        <f aca="false">ROUND(SUMPRODUCT((Transactions!$A$2:$A$215="BE98759")*(Transactions!$F$2:$F$215="AdBlue")*Transactions!$G$2:$G$215),2)</f>
        <v>2140.93</v>
      </c>
      <c r="D5" s="5" t="n">
        <f aca="false">C5-B5</f>
        <v>0</v>
      </c>
      <c r="E5" s="4" t="str">
        <f aca="false">IF(ABS(D5)&lt;=0.01,"OK","CHECK")</f>
        <v>OK</v>
      </c>
    </row>
    <row r="6" customFormat="false" ht="15" hidden="false" customHeight="true" outlineLevel="0" collapsed="false">
      <c r="A6" s="4" t="s">
        <v>316</v>
      </c>
      <c r="B6" s="5" t="n">
        <v>1750</v>
      </c>
      <c r="C6" s="5" t="n">
        <f aca="false">ROUND(SUMPRODUCT((Transactions!$A$2:$A$215="BE98759")*(Transactions!$F$2:$F$215="AdBlue")*Transactions!$M$2:$M$215),2)</f>
        <v>1750</v>
      </c>
      <c r="D6" s="5" t="n">
        <f aca="false">C6-B6</f>
        <v>0</v>
      </c>
      <c r="E6" s="4" t="str">
        <f aca="false">IF(ABS(D6)&lt;=0.02,"OK","CHECK")</f>
        <v>OK</v>
      </c>
    </row>
    <row r="7" customFormat="false" ht="15" hidden="false" customHeight="true" outlineLevel="0" collapsed="false">
      <c r="A7" s="4" t="s">
        <v>317</v>
      </c>
      <c r="B7" s="5" t="n">
        <v>5037.04</v>
      </c>
      <c r="C7" s="5" t="n">
        <f aca="false">ROUND(SUMIF(Transactions!$A$2:$A$215,"BE98759",Transactions!$J$2:$J$215),2)</f>
        <v>5037.04</v>
      </c>
      <c r="D7" s="5" t="n">
        <f aca="false">C7-B7</f>
        <v>0</v>
      </c>
      <c r="E7" s="4" t="str">
        <f aca="false">IF(ABS(D7)&lt;=0.02,"OK","CHECK")</f>
        <v>OK</v>
      </c>
    </row>
    <row r="8" customFormat="false" ht="15" hidden="false" customHeight="true" outlineLevel="0" collapsed="false">
      <c r="A8" s="4" t="s">
        <v>318</v>
      </c>
      <c r="B8" s="5" t="n">
        <v>7981.74</v>
      </c>
      <c r="C8" s="5" t="n">
        <f aca="false">ROUND(SUMIF(Transactions!$A$2:$A$215,"BE98759",Transactions!$L$2:$L$215),2)</f>
        <v>7981.72</v>
      </c>
      <c r="D8" s="5" t="n">
        <f aca="false">C8-B8</f>
        <v>-0.0199999999995271</v>
      </c>
      <c r="E8" s="4" t="str">
        <f aca="false">IF(ABS(D8)&lt;=0.05,"OK","CHECK")</f>
        <v>OK</v>
      </c>
    </row>
    <row r="9" customFormat="false" ht="15" hidden="false" customHeight="true" outlineLevel="0" collapsed="false">
      <c r="A9" s="4" t="s">
        <v>319</v>
      </c>
      <c r="B9" s="5" t="n">
        <v>45990.04</v>
      </c>
      <c r="C9" s="5" t="n">
        <f aca="false">ROUND(SUMIF(Transactions!$A$2:$A$215,"BE98759",Transactions!$M$2:$M$215),2)</f>
        <v>45990.04</v>
      </c>
      <c r="D9" s="5" t="n">
        <f aca="false">C9-B9</f>
        <v>0</v>
      </c>
      <c r="E9" s="4" t="str">
        <f aca="false">IF(ABS(D9)&lt;=0.02,"OK","CHECK")</f>
        <v>OK</v>
      </c>
    </row>
    <row r="10" customFormat="false" ht="15" hidden="false" customHeight="true" outlineLevel="0" collapsed="false">
      <c r="A10" s="4" t="s">
        <v>320</v>
      </c>
      <c r="B10" s="5" t="n">
        <v>24454.6</v>
      </c>
      <c r="C10" s="5" t="n">
        <f aca="false">ROUND(SUMPRODUCT((Transactions!$A$2:$A$215="BE99954")*(Transactions!$F$2:$F$215="Diesel")*Transactions!$G$2:$G$215),2)</f>
        <v>24454.6</v>
      </c>
      <c r="D10" s="5" t="n">
        <f aca="false">C10-B10</f>
        <v>0</v>
      </c>
      <c r="E10" s="4" t="str">
        <f aca="false">IF(ABS(D10)&lt;=0.01,"OK","CHECK")</f>
        <v>OK</v>
      </c>
    </row>
    <row r="11" customFormat="false" ht="15" hidden="false" customHeight="true" outlineLevel="0" collapsed="false">
      <c r="A11" s="4" t="s">
        <v>321</v>
      </c>
      <c r="B11" s="5" t="n">
        <v>5386.14</v>
      </c>
      <c r="C11" s="5" t="n">
        <f aca="false">ROUND(SUMPRODUCT((Transactions!$A$2:$A$215="BE99954")*(Transactions!$F$2:$F$215="Diesel")*Transactions!$J$2:$J$215),2)</f>
        <v>5386.14</v>
      </c>
      <c r="D11" s="5" t="n">
        <f aca="false">C11-B11</f>
        <v>0</v>
      </c>
      <c r="E11" s="4" t="str">
        <f aca="false">IF(ABS(D11)&lt;=0.02,"OK","CHECK")</f>
        <v>OK</v>
      </c>
    </row>
    <row r="12" customFormat="false" ht="15" hidden="false" customHeight="true" outlineLevel="0" collapsed="false">
      <c r="A12" s="4" t="s">
        <v>322</v>
      </c>
      <c r="B12" s="5" t="n">
        <v>38360.05</v>
      </c>
      <c r="C12" s="5" t="n">
        <f aca="false">ROUND(SUMPRODUCT((Transactions!$A$2:$A$215="BE99954")*(Transactions!$F$2:$F$215="Diesel")*(Transactions!$M$2:$M$215-Transactions!$L$2:$L$215)),2)</f>
        <v>38360.05</v>
      </c>
      <c r="D12" s="5" t="n">
        <f aca="false">C12-B12</f>
        <v>0</v>
      </c>
      <c r="E12" s="4" t="str">
        <f aca="false">IF(ABS(D12)&lt;=0.05,"OK","CHECK")</f>
        <v>OK</v>
      </c>
    </row>
    <row r="13" customFormat="false" ht="15" hidden="false" customHeight="true" outlineLevel="0" collapsed="false">
      <c r="A13" s="4" t="s">
        <v>323</v>
      </c>
      <c r="B13" s="5" t="n">
        <v>2388.88</v>
      </c>
      <c r="C13" s="5" t="n">
        <f aca="false">ROUND(SUMPRODUCT((Transactions!$A$2:$A$215="BE99954")*(Transactions!$F$2:$F$215="AdBlue")*Transactions!$G$2:$G$215),2)</f>
        <v>2388.88</v>
      </c>
      <c r="D13" s="5" t="n">
        <f aca="false">C13-B13</f>
        <v>0</v>
      </c>
      <c r="E13" s="4" t="str">
        <f aca="false">IF(ABS(D13)&lt;=0.01,"OK","CHECK")</f>
        <v>OK</v>
      </c>
    </row>
    <row r="14" customFormat="false" ht="15" hidden="false" customHeight="true" outlineLevel="0" collapsed="false">
      <c r="A14" s="4" t="s">
        <v>324</v>
      </c>
      <c r="B14" s="5" t="n">
        <v>1994.78</v>
      </c>
      <c r="C14" s="5" t="n">
        <f aca="false">ROUND(SUMPRODUCT((Transactions!$A$2:$A$215="BE99954")*(Transactions!$F$2:$F$215="AdBlue")*Transactions!$M$2:$M$215),2)</f>
        <v>1994.78</v>
      </c>
      <c r="D14" s="5" t="n">
        <f aca="false">C14-B14</f>
        <v>0</v>
      </c>
      <c r="E14" s="4" t="str">
        <f aca="false">IF(ABS(D14)&lt;=0.02,"OK","CHECK")</f>
        <v>OK</v>
      </c>
    </row>
    <row r="15" customFormat="false" ht="15" hidden="false" customHeight="true" outlineLevel="0" collapsed="false">
      <c r="A15" s="4" t="s">
        <v>325</v>
      </c>
      <c r="B15" s="5" t="n">
        <v>36.66</v>
      </c>
      <c r="C15" s="5" t="n">
        <f aca="false">ROUND(SUMPRODUCT((Transactions!$A$2:$A$215="BE99954")*(Transactions!$F$2:$F$215="Parking")*Transactions!$M$2:$M$215),2)</f>
        <v>36.66</v>
      </c>
      <c r="D15" s="5" t="n">
        <f aca="false">C15-B15</f>
        <v>0</v>
      </c>
      <c r="E15" s="4" t="str">
        <f aca="false">IF(ABS(D15)&lt;=0.01,"OK","CHECK")</f>
        <v>OK</v>
      </c>
    </row>
    <row r="16" customFormat="false" ht="15" hidden="false" customHeight="true" outlineLevel="0" collapsed="false">
      <c r="A16" s="4" t="s">
        <v>326</v>
      </c>
      <c r="B16" s="5" t="n">
        <v>6034.96</v>
      </c>
      <c r="C16" s="5" t="n">
        <f aca="false">ROUND(SUMIF(Transactions!$A$2:$A$215,"BE99954",Transactions!$J$2:$J$215),2)</f>
        <v>6034.96</v>
      </c>
      <c r="D16" s="5" t="n">
        <f aca="false">C16-B16</f>
        <v>0</v>
      </c>
      <c r="E16" s="4" t="str">
        <f aca="false">IF(ABS(D16)&lt;=0.02,"OK","CHECK")</f>
        <v>OK</v>
      </c>
    </row>
    <row r="17" customFormat="false" ht="15" hidden="false" customHeight="true" outlineLevel="0" collapsed="false">
      <c r="A17" s="4" t="s">
        <v>327</v>
      </c>
      <c r="B17" s="5" t="n">
        <v>8408.17</v>
      </c>
      <c r="C17" s="5" t="n">
        <f aca="false">ROUND(SUMIF(Transactions!$A$2:$A$215,"BE99954",Transactions!$L$2:$L$215),2)</f>
        <v>8408.16</v>
      </c>
      <c r="D17" s="5" t="n">
        <f aca="false">C17-B17</f>
        <v>-0.0100000000002183</v>
      </c>
      <c r="E17" s="4" t="str">
        <f aca="false">IF(ABS(D17)&lt;=0.05,"OK","CHECK")</f>
        <v>OK</v>
      </c>
    </row>
    <row r="18" customFormat="false" ht="15" hidden="false" customHeight="true" outlineLevel="0" collapsed="false">
      <c r="A18" s="4" t="s">
        <v>328</v>
      </c>
      <c r="B18" s="5" t="n">
        <v>48447.1</v>
      </c>
      <c r="C18" s="5" t="n">
        <f aca="false">ROUND(SUMIF(Transactions!$A$2:$A$215,"BE99954",Transactions!$M$2:$M$215),2)</f>
        <v>48447.1</v>
      </c>
      <c r="D18" s="5" t="n">
        <f aca="false">C18-B18</f>
        <v>0</v>
      </c>
      <c r="E18" s="4" t="str">
        <f aca="false">IF(ABS(D18)&lt;=0.02,"OK","CHECK")</f>
        <v>OK</v>
      </c>
    </row>
    <row r="19" customFormat="false" ht="15" hidden="false" customHeight="true" outlineLevel="0" collapsed="false">
      <c r="A19" s="4" t="s">
        <v>329</v>
      </c>
      <c r="B19" s="5" t="n">
        <v>94437.14</v>
      </c>
      <c r="C19" s="5" t="n">
        <f aca="false">ROUND(SUM(Transactions!$M$2:$M$215),2)</f>
        <v>94437.14</v>
      </c>
      <c r="D19" s="5" t="n">
        <f aca="false">C19-B19</f>
        <v>0</v>
      </c>
      <c r="E19" s="4" t="str">
        <f aca="false">IF(ABS(D19)&lt;=0.03,"OK","CHECK")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8"/>
  </cols>
  <sheetData>
    <row r="1" customFormat="false" ht="21.75" hidden="false" customHeight="true" outlineLevel="0" collapsed="false">
      <c r="A1" s="11" t="s">
        <v>28</v>
      </c>
      <c r="B1" s="11" t="s">
        <v>29</v>
      </c>
      <c r="C1" s="11" t="s">
        <v>330</v>
      </c>
      <c r="D1" s="11" t="s">
        <v>331</v>
      </c>
      <c r="E1" s="11" t="s">
        <v>332</v>
      </c>
      <c r="F1" s="11" t="s">
        <v>333</v>
      </c>
      <c r="G1" s="11" t="s">
        <v>334</v>
      </c>
      <c r="H1" s="11" t="s">
        <v>335</v>
      </c>
      <c r="I1" s="11" t="s">
        <v>311</v>
      </c>
    </row>
    <row r="2" customFormat="false" ht="15" hidden="false" customHeight="true" outlineLevel="0" collapsed="false">
      <c r="A2" s="4" t="s">
        <v>44</v>
      </c>
      <c r="B2" s="4" t="s">
        <v>45</v>
      </c>
      <c r="C2" s="5" t="n">
        <v>324.79</v>
      </c>
      <c r="D2" s="5" t="n">
        <v>552.12</v>
      </c>
      <c r="E2" s="5" t="n">
        <v>3181.34</v>
      </c>
      <c r="F2" s="5" t="n">
        <f aca="false">ROUND(SUMPRODUCT((Transactions!$A$2:$A$215=A2)*(Transactions!$B$2:$B$215=B2)*Transactions!$J$2:$J$215),2)</f>
        <v>324.79</v>
      </c>
      <c r="G2" s="5" t="n">
        <f aca="false">ROUND(SUMPRODUCT((Transactions!$A$2:$A$215=A2)*(Transactions!$B$2:$B$215=B2)*Transactions!$L$2:$L$215),2)</f>
        <v>552.12</v>
      </c>
      <c r="H2" s="5" t="n">
        <f aca="false">ROUND(SUMPRODUCT((Transactions!$A$2:$A$215=A2)*(Transactions!$B$2:$B$215=B2)*Transactions!$M$2:$M$215),2)</f>
        <v>3181.34</v>
      </c>
      <c r="I2" s="4" t="str">
        <f aca="false">IF(AND(ABS(F2-C2)&lt;=0.02,ABS(G2-D2)&lt;=0.05,ABS(H2-E2)&lt;=0.02),"OK","CHECK")</f>
        <v>OK</v>
      </c>
    </row>
    <row r="3" customFormat="false" ht="15" hidden="false" customHeight="true" outlineLevel="0" collapsed="false">
      <c r="A3" s="4" t="s">
        <v>44</v>
      </c>
      <c r="B3" s="4" t="s">
        <v>60</v>
      </c>
      <c r="C3" s="5" t="n">
        <v>10.11</v>
      </c>
      <c r="D3" s="5" t="n">
        <v>6.41</v>
      </c>
      <c r="E3" s="5" t="n">
        <v>36.92</v>
      </c>
      <c r="F3" s="5" t="n">
        <f aca="false">ROUND(SUMPRODUCT((Transactions!$A$2:$A$215=A3)*(Transactions!$B$2:$B$215=B3)*Transactions!$J$2:$J$215),2)</f>
        <v>10.11</v>
      </c>
      <c r="G3" s="5" t="n">
        <f aca="false">ROUND(SUMPRODUCT((Transactions!$A$2:$A$215=A3)*(Transactions!$B$2:$B$215=B3)*Transactions!$L$2:$L$215),2)</f>
        <v>6.41</v>
      </c>
      <c r="H3" s="5" t="n">
        <f aca="false">ROUND(SUMPRODUCT((Transactions!$A$2:$A$215=A3)*(Transactions!$B$2:$B$215=B3)*Transactions!$M$2:$M$215),2)</f>
        <v>36.92</v>
      </c>
      <c r="I3" s="4" t="str">
        <f aca="false">IF(AND(ABS(F3-C3)&lt;=0.02,ABS(G3-D3)&lt;=0.05,ABS(H3-E3)&lt;=0.02),"OK","CHECK")</f>
        <v>OK</v>
      </c>
    </row>
    <row r="4" customFormat="false" ht="15" hidden="false" customHeight="true" outlineLevel="0" collapsed="false">
      <c r="A4" s="4" t="s">
        <v>44</v>
      </c>
      <c r="B4" s="4" t="s">
        <v>63</v>
      </c>
      <c r="C4" s="5" t="n">
        <v>183.69</v>
      </c>
      <c r="D4" s="5" t="n">
        <v>400.02</v>
      </c>
      <c r="E4" s="5" t="n">
        <v>2304.85</v>
      </c>
      <c r="F4" s="5" t="n">
        <f aca="false">ROUND(SUMPRODUCT((Transactions!$A$2:$A$215=A4)*(Transactions!$B$2:$B$215=B4)*Transactions!$J$2:$J$215),2)</f>
        <v>183.69</v>
      </c>
      <c r="G4" s="5" t="n">
        <f aca="false">ROUND(SUMPRODUCT((Transactions!$A$2:$A$215=A4)*(Transactions!$B$2:$B$215=B4)*Transactions!$L$2:$L$215),2)</f>
        <v>400.02</v>
      </c>
      <c r="H4" s="5" t="n">
        <f aca="false">ROUND(SUMPRODUCT((Transactions!$A$2:$A$215=A4)*(Transactions!$B$2:$B$215=B4)*Transactions!$M$2:$M$215),2)</f>
        <v>2304.85</v>
      </c>
      <c r="I4" s="4" t="str">
        <f aca="false">IF(AND(ABS(F4-C4)&lt;=0.02,ABS(G4-D4)&lt;=0.05,ABS(H4-E4)&lt;=0.02),"OK","CHECK")</f>
        <v>OK</v>
      </c>
    </row>
    <row r="5" customFormat="false" ht="15" hidden="false" customHeight="true" outlineLevel="0" collapsed="false">
      <c r="A5" s="4" t="s">
        <v>44</v>
      </c>
      <c r="B5" s="4" t="s">
        <v>71</v>
      </c>
      <c r="C5" s="5" t="n">
        <v>359.83</v>
      </c>
      <c r="D5" s="5" t="n">
        <v>587.1</v>
      </c>
      <c r="E5" s="5" t="n">
        <v>3382.87</v>
      </c>
      <c r="F5" s="5" t="n">
        <f aca="false">ROUND(SUMPRODUCT((Transactions!$A$2:$A$215=A5)*(Transactions!$B$2:$B$215=B5)*Transactions!$J$2:$J$215),2)</f>
        <v>359.83</v>
      </c>
      <c r="G5" s="5" t="n">
        <f aca="false">ROUND(SUMPRODUCT((Transactions!$A$2:$A$215=A5)*(Transactions!$B$2:$B$215=B5)*Transactions!$L$2:$L$215),2)</f>
        <v>587.1</v>
      </c>
      <c r="H5" s="5" t="n">
        <f aca="false">ROUND(SUMPRODUCT((Transactions!$A$2:$A$215=A5)*(Transactions!$B$2:$B$215=B5)*Transactions!$M$2:$M$215),2)</f>
        <v>3382.87</v>
      </c>
      <c r="I5" s="4" t="str">
        <f aca="false">IF(AND(ABS(F5-C5)&lt;=0.02,ABS(G5-D5)&lt;=0.05,ABS(H5-E5)&lt;=0.02),"OK","CHECK")</f>
        <v>OK</v>
      </c>
    </row>
    <row r="6" customFormat="false" ht="15" hidden="false" customHeight="true" outlineLevel="0" collapsed="false">
      <c r="A6" s="4" t="s">
        <v>44</v>
      </c>
      <c r="B6" s="4" t="s">
        <v>82</v>
      </c>
      <c r="C6" s="5" t="n">
        <v>175.13</v>
      </c>
      <c r="D6" s="5" t="n">
        <v>310.77</v>
      </c>
      <c r="E6" s="5" t="n">
        <v>1790.61</v>
      </c>
      <c r="F6" s="5" t="n">
        <f aca="false">ROUND(SUMPRODUCT((Transactions!$A$2:$A$215=A6)*(Transactions!$B$2:$B$215=B6)*Transactions!$J$2:$J$215),2)</f>
        <v>175.13</v>
      </c>
      <c r="G6" s="5" t="n">
        <f aca="false">ROUND(SUMPRODUCT((Transactions!$A$2:$A$215=A6)*(Transactions!$B$2:$B$215=B6)*Transactions!$L$2:$L$215),2)</f>
        <v>310.77</v>
      </c>
      <c r="H6" s="5" t="n">
        <f aca="false">ROUND(SUMPRODUCT((Transactions!$A$2:$A$215=A6)*(Transactions!$B$2:$B$215=B6)*Transactions!$M$2:$M$215),2)</f>
        <v>1790.61</v>
      </c>
      <c r="I6" s="4" t="str">
        <f aca="false">IF(AND(ABS(F6-C6)&lt;=0.02,ABS(G6-D6)&lt;=0.05,ABS(H6-E6)&lt;=0.02),"OK","CHECK")</f>
        <v>OK</v>
      </c>
    </row>
    <row r="7" customFormat="false" ht="15" hidden="false" customHeight="true" outlineLevel="0" collapsed="false">
      <c r="A7" s="4" t="s">
        <v>44</v>
      </c>
      <c r="B7" s="4" t="s">
        <v>87</v>
      </c>
      <c r="C7" s="5" t="n">
        <v>44</v>
      </c>
      <c r="D7" s="5" t="n">
        <v>208.26</v>
      </c>
      <c r="E7" s="5" t="n">
        <v>1199.96</v>
      </c>
      <c r="F7" s="5" t="n">
        <f aca="false">ROUND(SUMPRODUCT((Transactions!$A$2:$A$215=A7)*(Transactions!$B$2:$B$215=B7)*Transactions!$J$2:$J$215),2)</f>
        <v>44</v>
      </c>
      <c r="G7" s="5" t="n">
        <f aca="false">ROUND(SUMPRODUCT((Transactions!$A$2:$A$215=A7)*(Transactions!$B$2:$B$215=B7)*Transactions!$L$2:$L$215),2)</f>
        <v>208.26</v>
      </c>
      <c r="H7" s="5" t="n">
        <f aca="false">ROUND(SUMPRODUCT((Transactions!$A$2:$A$215=A7)*(Transactions!$B$2:$B$215=B7)*Transactions!$M$2:$M$215),2)</f>
        <v>1199.96</v>
      </c>
      <c r="I7" s="4" t="str">
        <f aca="false">IF(AND(ABS(F7-C7)&lt;=0.02,ABS(G7-D7)&lt;=0.05,ABS(H7-E7)&lt;=0.02),"OK","CHECK")</f>
        <v>OK</v>
      </c>
    </row>
    <row r="8" customFormat="false" ht="15" hidden="false" customHeight="true" outlineLevel="0" collapsed="false">
      <c r="A8" s="4" t="s">
        <v>44</v>
      </c>
      <c r="B8" s="4" t="s">
        <v>90</v>
      </c>
      <c r="C8" s="5" t="n">
        <v>132.86</v>
      </c>
      <c r="D8" s="5" t="n">
        <v>243</v>
      </c>
      <c r="E8" s="5" t="n">
        <v>1400.14</v>
      </c>
      <c r="F8" s="5" t="n">
        <f aca="false">ROUND(SUMPRODUCT((Transactions!$A$2:$A$215=A8)*(Transactions!$B$2:$B$215=B8)*Transactions!$J$2:$J$215),2)</f>
        <v>132.86</v>
      </c>
      <c r="G8" s="5" t="n">
        <f aca="false">ROUND(SUMPRODUCT((Transactions!$A$2:$A$215=A8)*(Transactions!$B$2:$B$215=B8)*Transactions!$L$2:$L$215),2)</f>
        <v>243</v>
      </c>
      <c r="H8" s="5" t="n">
        <f aca="false">ROUND(SUMPRODUCT((Transactions!$A$2:$A$215=A8)*(Transactions!$B$2:$B$215=B8)*Transactions!$M$2:$M$215),2)</f>
        <v>1400.14</v>
      </c>
      <c r="I8" s="4" t="str">
        <f aca="false">IF(AND(ABS(F8-C8)&lt;=0.02,ABS(G8-D8)&lt;=0.05,ABS(H8-E8)&lt;=0.02),"OK","CHECK")</f>
        <v>OK</v>
      </c>
    </row>
    <row r="9" customFormat="false" ht="15" hidden="false" customHeight="true" outlineLevel="0" collapsed="false">
      <c r="A9" s="4" t="s">
        <v>44</v>
      </c>
      <c r="B9" s="4" t="s">
        <v>94</v>
      </c>
      <c r="C9" s="5" t="n">
        <v>354.02</v>
      </c>
      <c r="D9" s="5" t="n">
        <v>494.65</v>
      </c>
      <c r="E9" s="5" t="n">
        <v>2850.14</v>
      </c>
      <c r="F9" s="5" t="n">
        <f aca="false">ROUND(SUMPRODUCT((Transactions!$A$2:$A$215=A9)*(Transactions!$B$2:$B$215=B9)*Transactions!$J$2:$J$215),2)</f>
        <v>354.02</v>
      </c>
      <c r="G9" s="5" t="n">
        <f aca="false">ROUND(SUMPRODUCT((Transactions!$A$2:$A$215=A9)*(Transactions!$B$2:$B$215=B9)*Transactions!$L$2:$L$215),2)</f>
        <v>494.65</v>
      </c>
      <c r="H9" s="5" t="n">
        <f aca="false">ROUND(SUMPRODUCT((Transactions!$A$2:$A$215=A9)*(Transactions!$B$2:$B$215=B9)*Transactions!$M$2:$M$215),2)</f>
        <v>2850.14</v>
      </c>
      <c r="I9" s="4" t="str">
        <f aca="false">IF(AND(ABS(F9-C9)&lt;=0.02,ABS(G9-D9)&lt;=0.05,ABS(H9-E9)&lt;=0.02),"OK","CHECK")</f>
        <v>OK</v>
      </c>
    </row>
    <row r="10" customFormat="false" ht="15" hidden="false" customHeight="true" outlineLevel="0" collapsed="false">
      <c r="A10" s="4" t="s">
        <v>44</v>
      </c>
      <c r="B10" s="4" t="s">
        <v>99</v>
      </c>
      <c r="C10" s="5" t="n">
        <v>59.19</v>
      </c>
      <c r="D10" s="5" t="n">
        <v>92.1</v>
      </c>
      <c r="E10" s="5" t="n">
        <v>530.7</v>
      </c>
      <c r="F10" s="5" t="n">
        <f aca="false">ROUND(SUMPRODUCT((Transactions!$A$2:$A$215=A10)*(Transactions!$B$2:$B$215=B10)*Transactions!$J$2:$J$215),2)</f>
        <v>59.19</v>
      </c>
      <c r="G10" s="5" t="n">
        <f aca="false">ROUND(SUMPRODUCT((Transactions!$A$2:$A$215=A10)*(Transactions!$B$2:$B$215=B10)*Transactions!$L$2:$L$215),2)</f>
        <v>92.1</v>
      </c>
      <c r="H10" s="5" t="n">
        <f aca="false">ROUND(SUMPRODUCT((Transactions!$A$2:$A$215=A10)*(Transactions!$B$2:$B$215=B10)*Transactions!$M$2:$M$215),2)</f>
        <v>530.7</v>
      </c>
      <c r="I10" s="4" t="str">
        <f aca="false">IF(AND(ABS(F10-C10)&lt;=0.02,ABS(G10-D10)&lt;=0.05,ABS(H10-E10)&lt;=0.02),"OK","CHECK")</f>
        <v>OK</v>
      </c>
    </row>
    <row r="11" customFormat="false" ht="15" hidden="false" customHeight="true" outlineLevel="0" collapsed="false">
      <c r="A11" s="4" t="s">
        <v>44</v>
      </c>
      <c r="B11" s="4" t="s">
        <v>103</v>
      </c>
      <c r="C11" s="5" t="n">
        <v>25.73</v>
      </c>
      <c r="D11" s="5" t="n">
        <v>52.91</v>
      </c>
      <c r="E11" s="5" t="n">
        <v>304.9</v>
      </c>
      <c r="F11" s="5" t="n">
        <f aca="false">ROUND(SUMPRODUCT((Transactions!$A$2:$A$215=A11)*(Transactions!$B$2:$B$215=B11)*Transactions!$J$2:$J$215),2)</f>
        <v>25.73</v>
      </c>
      <c r="G11" s="5" t="n">
        <f aca="false">ROUND(SUMPRODUCT((Transactions!$A$2:$A$215=A11)*(Transactions!$B$2:$B$215=B11)*Transactions!$L$2:$L$215),2)</f>
        <v>52.91</v>
      </c>
      <c r="H11" s="5" t="n">
        <f aca="false">ROUND(SUMPRODUCT((Transactions!$A$2:$A$215=A11)*(Transactions!$B$2:$B$215=B11)*Transactions!$M$2:$M$215),2)</f>
        <v>304.9</v>
      </c>
      <c r="I11" s="4" t="str">
        <f aca="false">IF(AND(ABS(F11-C11)&lt;=0.02,ABS(G11-D11)&lt;=0.05,ABS(H11-E11)&lt;=0.02),"OK","CHECK")</f>
        <v>OK</v>
      </c>
    </row>
    <row r="12" customFormat="false" ht="15" hidden="false" customHeight="true" outlineLevel="0" collapsed="false">
      <c r="A12" s="4" t="s">
        <v>44</v>
      </c>
      <c r="B12" s="4" t="s">
        <v>107</v>
      </c>
      <c r="C12" s="5" t="n">
        <v>378.73</v>
      </c>
      <c r="D12" s="5" t="n">
        <v>634.57</v>
      </c>
      <c r="E12" s="5" t="n">
        <v>3656.33</v>
      </c>
      <c r="F12" s="5" t="n">
        <f aca="false">ROUND(SUMPRODUCT((Transactions!$A$2:$A$215=A12)*(Transactions!$B$2:$B$215=B12)*Transactions!$J$2:$J$215),2)</f>
        <v>378.73</v>
      </c>
      <c r="G12" s="5" t="n">
        <f aca="false">ROUND(SUMPRODUCT((Transactions!$A$2:$A$215=A12)*(Transactions!$B$2:$B$215=B12)*Transactions!$L$2:$L$215),2)</f>
        <v>634.57</v>
      </c>
      <c r="H12" s="5" t="n">
        <f aca="false">ROUND(SUMPRODUCT((Transactions!$A$2:$A$215=A12)*(Transactions!$B$2:$B$215=B12)*Transactions!$M$2:$M$215),2)</f>
        <v>3656.33</v>
      </c>
      <c r="I12" s="4" t="str">
        <f aca="false">IF(AND(ABS(F12-C12)&lt;=0.02,ABS(G12-D12)&lt;=0.05,ABS(H12-E12)&lt;=0.02),"OK","CHECK")</f>
        <v>OK</v>
      </c>
    </row>
    <row r="13" customFormat="false" ht="15" hidden="false" customHeight="true" outlineLevel="0" collapsed="false">
      <c r="A13" s="4" t="s">
        <v>44</v>
      </c>
      <c r="B13" s="4" t="s">
        <v>117</v>
      </c>
      <c r="C13" s="5" t="n">
        <v>6.6</v>
      </c>
      <c r="D13" s="5" t="n">
        <v>4.18</v>
      </c>
      <c r="E13" s="5" t="n">
        <v>24.11</v>
      </c>
      <c r="F13" s="5" t="n">
        <f aca="false">ROUND(SUMPRODUCT((Transactions!$A$2:$A$215=A13)*(Transactions!$B$2:$B$215=B13)*Transactions!$J$2:$J$215),2)</f>
        <v>6.6</v>
      </c>
      <c r="G13" s="5" t="n">
        <f aca="false">ROUND(SUMPRODUCT((Transactions!$A$2:$A$215=A13)*(Transactions!$B$2:$B$215=B13)*Transactions!$L$2:$L$215),2)</f>
        <v>4.18</v>
      </c>
      <c r="H13" s="5" t="n">
        <f aca="false">ROUND(SUMPRODUCT((Transactions!$A$2:$A$215=A13)*(Transactions!$B$2:$B$215=B13)*Transactions!$M$2:$M$215),2)</f>
        <v>24.11</v>
      </c>
      <c r="I13" s="4" t="str">
        <f aca="false">IF(AND(ABS(F13-C13)&lt;=0.02,ABS(G13-D13)&lt;=0.05,ABS(H13-E13)&lt;=0.02),"OK","CHECK")</f>
        <v>OK</v>
      </c>
    </row>
    <row r="14" customFormat="false" ht="15" hidden="false" customHeight="true" outlineLevel="0" collapsed="false">
      <c r="A14" s="4" t="s">
        <v>44</v>
      </c>
      <c r="B14" s="4" t="s">
        <v>120</v>
      </c>
      <c r="C14" s="5" t="n">
        <v>185.19</v>
      </c>
      <c r="D14" s="5" t="n">
        <v>255.99</v>
      </c>
      <c r="E14" s="5" t="n">
        <v>1475.03</v>
      </c>
      <c r="F14" s="5" t="n">
        <f aca="false">ROUND(SUMPRODUCT((Transactions!$A$2:$A$215=A14)*(Transactions!$B$2:$B$215=B14)*Transactions!$J$2:$J$215),2)</f>
        <v>185.19</v>
      </c>
      <c r="G14" s="5" t="n">
        <f aca="false">ROUND(SUMPRODUCT((Transactions!$A$2:$A$215=A14)*(Transactions!$B$2:$B$215=B14)*Transactions!$L$2:$L$215),2)</f>
        <v>255.99</v>
      </c>
      <c r="H14" s="5" t="n">
        <f aca="false">ROUND(SUMPRODUCT((Transactions!$A$2:$A$215=A14)*(Transactions!$B$2:$B$215=B14)*Transactions!$M$2:$M$215),2)</f>
        <v>1475.03</v>
      </c>
      <c r="I14" s="4" t="str">
        <f aca="false">IF(AND(ABS(F14-C14)&lt;=0.02,ABS(G14-D14)&lt;=0.05,ABS(H14-E14)&lt;=0.02),"OK","CHECK")</f>
        <v>OK</v>
      </c>
    </row>
    <row r="15" customFormat="false" ht="15" hidden="false" customHeight="true" outlineLevel="0" collapsed="false">
      <c r="A15" s="4" t="s">
        <v>44</v>
      </c>
      <c r="B15" s="4" t="s">
        <v>123</v>
      </c>
      <c r="C15" s="5" t="n">
        <v>180.86</v>
      </c>
      <c r="D15" s="5" t="n">
        <v>258.62</v>
      </c>
      <c r="E15" s="5" t="n">
        <v>1490.17</v>
      </c>
      <c r="F15" s="5" t="n">
        <f aca="false">ROUND(SUMPRODUCT((Transactions!$A$2:$A$215=A15)*(Transactions!$B$2:$B$215=B15)*Transactions!$J$2:$J$215),2)</f>
        <v>180.86</v>
      </c>
      <c r="G15" s="5" t="n">
        <f aca="false">ROUND(SUMPRODUCT((Transactions!$A$2:$A$215=A15)*(Transactions!$B$2:$B$215=B15)*Transactions!$L$2:$L$215),2)</f>
        <v>258.62</v>
      </c>
      <c r="H15" s="5" t="n">
        <f aca="false">ROUND(SUMPRODUCT((Transactions!$A$2:$A$215=A15)*(Transactions!$B$2:$B$215=B15)*Transactions!$M$2:$M$215),2)</f>
        <v>1490.17</v>
      </c>
      <c r="I15" s="4" t="str">
        <f aca="false">IF(AND(ABS(F15-C15)&lt;=0.02,ABS(G15-D15)&lt;=0.05,ABS(H15-E15)&lt;=0.02),"OK","CHECK")</f>
        <v>OK</v>
      </c>
    </row>
    <row r="16" customFormat="false" ht="15" hidden="false" customHeight="true" outlineLevel="0" collapsed="false">
      <c r="A16" s="4" t="s">
        <v>44</v>
      </c>
      <c r="B16" s="4" t="s">
        <v>126</v>
      </c>
      <c r="C16" s="5" t="n">
        <v>322.1</v>
      </c>
      <c r="D16" s="5" t="n">
        <v>449.18</v>
      </c>
      <c r="E16" s="5" t="n">
        <v>2588.09</v>
      </c>
      <c r="F16" s="5" t="n">
        <f aca="false">ROUND(SUMPRODUCT((Transactions!$A$2:$A$215=A16)*(Transactions!$B$2:$B$215=B16)*Transactions!$J$2:$J$215),2)</f>
        <v>322.1</v>
      </c>
      <c r="G16" s="5" t="n">
        <f aca="false">ROUND(SUMPRODUCT((Transactions!$A$2:$A$215=A16)*(Transactions!$B$2:$B$215=B16)*Transactions!$L$2:$L$215),2)</f>
        <v>449.18</v>
      </c>
      <c r="H16" s="5" t="n">
        <f aca="false">ROUND(SUMPRODUCT((Transactions!$A$2:$A$215=A16)*(Transactions!$B$2:$B$215=B16)*Transactions!$M$2:$M$215),2)</f>
        <v>2588.09</v>
      </c>
      <c r="I16" s="4" t="str">
        <f aca="false">IF(AND(ABS(F16-C16)&lt;=0.02,ABS(G16-D16)&lt;=0.05,ABS(H16-E16)&lt;=0.02),"OK","CHECK")</f>
        <v>OK</v>
      </c>
    </row>
    <row r="17" customFormat="false" ht="15" hidden="false" customHeight="true" outlineLevel="0" collapsed="false">
      <c r="A17" s="4" t="s">
        <v>44</v>
      </c>
      <c r="B17" s="4" t="s">
        <v>132</v>
      </c>
      <c r="C17" s="5" t="n">
        <v>169.41</v>
      </c>
      <c r="D17" s="5" t="n">
        <v>251.15</v>
      </c>
      <c r="E17" s="5" t="n">
        <v>1447.1</v>
      </c>
      <c r="F17" s="5" t="n">
        <f aca="false">ROUND(SUMPRODUCT((Transactions!$A$2:$A$215=A17)*(Transactions!$B$2:$B$215=B17)*Transactions!$J$2:$J$215),2)</f>
        <v>169.41</v>
      </c>
      <c r="G17" s="5" t="n">
        <f aca="false">ROUND(SUMPRODUCT((Transactions!$A$2:$A$215=A17)*(Transactions!$B$2:$B$215=B17)*Transactions!$L$2:$L$215),2)</f>
        <v>251.15</v>
      </c>
      <c r="H17" s="5" t="n">
        <f aca="false">ROUND(SUMPRODUCT((Transactions!$A$2:$A$215=A17)*(Transactions!$B$2:$B$215=B17)*Transactions!$M$2:$M$215),2)</f>
        <v>1447.1</v>
      </c>
      <c r="I17" s="4" t="str">
        <f aca="false">IF(AND(ABS(F17-C17)&lt;=0.02,ABS(G17-D17)&lt;=0.05,ABS(H17-E17)&lt;=0.02),"OK","CHECK")</f>
        <v>OK</v>
      </c>
    </row>
    <row r="18" customFormat="false" ht="15" hidden="false" customHeight="true" outlineLevel="0" collapsed="false">
      <c r="A18" s="4" t="s">
        <v>44</v>
      </c>
      <c r="B18" s="4" t="s">
        <v>135</v>
      </c>
      <c r="C18" s="5" t="n">
        <v>369.79</v>
      </c>
      <c r="D18" s="5" t="n">
        <v>534.62</v>
      </c>
      <c r="E18" s="5" t="n">
        <v>3080.44</v>
      </c>
      <c r="F18" s="5" t="n">
        <f aca="false">ROUND(SUMPRODUCT((Transactions!$A$2:$A$215=A18)*(Transactions!$B$2:$B$215=B18)*Transactions!$J$2:$J$215),2)</f>
        <v>369.79</v>
      </c>
      <c r="G18" s="5" t="n">
        <f aca="false">ROUND(SUMPRODUCT((Transactions!$A$2:$A$215=A18)*(Transactions!$B$2:$B$215=B18)*Transactions!$L$2:$L$215),2)</f>
        <v>534.62</v>
      </c>
      <c r="H18" s="5" t="n">
        <f aca="false">ROUND(SUMPRODUCT((Transactions!$A$2:$A$215=A18)*(Transactions!$B$2:$B$215=B18)*Transactions!$M$2:$M$215),2)</f>
        <v>3080.44</v>
      </c>
      <c r="I18" s="4" t="str">
        <f aca="false">IF(AND(ABS(F18-C18)&lt;=0.02,ABS(G18-D18)&lt;=0.05,ABS(H18-E18)&lt;=0.02),"OK","CHECK")</f>
        <v>OK</v>
      </c>
    </row>
    <row r="19" customFormat="false" ht="15" hidden="false" customHeight="true" outlineLevel="0" collapsed="false">
      <c r="A19" s="4" t="s">
        <v>44</v>
      </c>
      <c r="B19" s="4" t="s">
        <v>142</v>
      </c>
      <c r="C19" s="5" t="n">
        <v>391.92</v>
      </c>
      <c r="D19" s="5" t="n">
        <v>661.95</v>
      </c>
      <c r="E19" s="5" t="n">
        <v>3814.1</v>
      </c>
      <c r="F19" s="5" t="n">
        <f aca="false">ROUND(SUMPRODUCT((Transactions!$A$2:$A$215=A19)*(Transactions!$B$2:$B$215=B19)*Transactions!$J$2:$J$215),2)</f>
        <v>391.92</v>
      </c>
      <c r="G19" s="5" t="n">
        <f aca="false">ROUND(SUMPRODUCT((Transactions!$A$2:$A$215=A19)*(Transactions!$B$2:$B$215=B19)*Transactions!$L$2:$L$215),2)</f>
        <v>661.95</v>
      </c>
      <c r="H19" s="5" t="n">
        <f aca="false">ROUND(SUMPRODUCT((Transactions!$A$2:$A$215=A19)*(Transactions!$B$2:$B$215=B19)*Transactions!$M$2:$M$215),2)</f>
        <v>3814.1</v>
      </c>
      <c r="I19" s="4" t="str">
        <f aca="false">IF(AND(ABS(F19-C19)&lt;=0.02,ABS(G19-D19)&lt;=0.05,ABS(H19-E19)&lt;=0.02),"OK","CHECK")</f>
        <v>OK</v>
      </c>
    </row>
    <row r="20" customFormat="false" ht="15" hidden="false" customHeight="true" outlineLevel="0" collapsed="false">
      <c r="A20" s="4" t="s">
        <v>44</v>
      </c>
      <c r="B20" s="4" t="s">
        <v>151</v>
      </c>
      <c r="C20" s="5" t="n">
        <v>68.75</v>
      </c>
      <c r="D20" s="5" t="n">
        <v>128.78</v>
      </c>
      <c r="E20" s="5" t="n">
        <v>741.98</v>
      </c>
      <c r="F20" s="5" t="n">
        <f aca="false">ROUND(SUMPRODUCT((Transactions!$A$2:$A$215=A20)*(Transactions!$B$2:$B$215=B20)*Transactions!$J$2:$J$215),2)</f>
        <v>68.75</v>
      </c>
      <c r="G20" s="5" t="n">
        <f aca="false">ROUND(SUMPRODUCT((Transactions!$A$2:$A$215=A20)*(Transactions!$B$2:$B$215=B20)*Transactions!$L$2:$L$215),2)</f>
        <v>128.78</v>
      </c>
      <c r="H20" s="5" t="n">
        <f aca="false">ROUND(SUMPRODUCT((Transactions!$A$2:$A$215=A20)*(Transactions!$B$2:$B$215=B20)*Transactions!$M$2:$M$215),2)</f>
        <v>741.98</v>
      </c>
      <c r="I20" s="4" t="str">
        <f aca="false">IF(AND(ABS(F20-C20)&lt;=0.02,ABS(G20-D20)&lt;=0.05,ABS(H20-E20)&lt;=0.02),"OK","CHECK")</f>
        <v>OK</v>
      </c>
    </row>
    <row r="21" customFormat="false" ht="15" hidden="false" customHeight="true" outlineLevel="0" collapsed="false">
      <c r="A21" s="4" t="s">
        <v>44</v>
      </c>
      <c r="B21" s="4" t="s">
        <v>154</v>
      </c>
      <c r="C21" s="5" t="n">
        <v>17.11</v>
      </c>
      <c r="D21" s="5" t="n">
        <v>10.85</v>
      </c>
      <c r="E21" s="5" t="n">
        <v>62.54</v>
      </c>
      <c r="F21" s="5" t="n">
        <f aca="false">ROUND(SUMPRODUCT((Transactions!$A$2:$A$215=A21)*(Transactions!$B$2:$B$215=B21)*Transactions!$J$2:$J$215),2)</f>
        <v>17.11</v>
      </c>
      <c r="G21" s="5" t="n">
        <f aca="false">ROUND(SUMPRODUCT((Transactions!$A$2:$A$215=A21)*(Transactions!$B$2:$B$215=B21)*Transactions!$L$2:$L$215),2)</f>
        <v>10.85</v>
      </c>
      <c r="H21" s="5" t="n">
        <f aca="false">ROUND(SUMPRODUCT((Transactions!$A$2:$A$215=A21)*(Transactions!$B$2:$B$215=B21)*Transactions!$M$2:$M$215),2)</f>
        <v>62.54</v>
      </c>
      <c r="I21" s="4" t="str">
        <f aca="false">IF(AND(ABS(F21-C21)&lt;=0.02,ABS(G21-D21)&lt;=0.05,ABS(H21-E21)&lt;=0.02),"OK","CHECK")</f>
        <v>OK</v>
      </c>
    </row>
    <row r="22" customFormat="false" ht="15" hidden="false" customHeight="true" outlineLevel="0" collapsed="false">
      <c r="A22" s="4" t="s">
        <v>44</v>
      </c>
      <c r="B22" s="4" t="s">
        <v>157</v>
      </c>
      <c r="C22" s="5" t="n">
        <v>5.5</v>
      </c>
      <c r="D22" s="5" t="n">
        <v>3.49</v>
      </c>
      <c r="E22" s="5" t="n">
        <v>20.09</v>
      </c>
      <c r="F22" s="5" t="n">
        <f aca="false">ROUND(SUMPRODUCT((Transactions!$A$2:$A$215=A22)*(Transactions!$B$2:$B$215=B22)*Transactions!$J$2:$J$215),2)</f>
        <v>5.5</v>
      </c>
      <c r="G22" s="5" t="n">
        <f aca="false">ROUND(SUMPRODUCT((Transactions!$A$2:$A$215=A22)*(Transactions!$B$2:$B$215=B22)*Transactions!$L$2:$L$215),2)</f>
        <v>3.49</v>
      </c>
      <c r="H22" s="5" t="n">
        <f aca="false">ROUND(SUMPRODUCT((Transactions!$A$2:$A$215=A22)*(Transactions!$B$2:$B$215=B22)*Transactions!$M$2:$M$215),2)</f>
        <v>20.09</v>
      </c>
      <c r="I22" s="4" t="str">
        <f aca="false">IF(AND(ABS(F22-C22)&lt;=0.02,ABS(G22-D22)&lt;=0.05,ABS(H22-E22)&lt;=0.02),"OK","CHECK")</f>
        <v>OK</v>
      </c>
    </row>
    <row r="23" customFormat="false" ht="15" hidden="false" customHeight="true" outlineLevel="0" collapsed="false">
      <c r="A23" s="4" t="s">
        <v>44</v>
      </c>
      <c r="B23" s="4" t="s">
        <v>159</v>
      </c>
      <c r="C23" s="5" t="n">
        <v>328.94</v>
      </c>
      <c r="D23" s="5" t="n">
        <v>460.16</v>
      </c>
      <c r="E23" s="5" t="n">
        <v>2651.39</v>
      </c>
      <c r="F23" s="5" t="n">
        <f aca="false">ROUND(SUMPRODUCT((Transactions!$A$2:$A$215=A23)*(Transactions!$B$2:$B$215=B23)*Transactions!$J$2:$J$215),2)</f>
        <v>328.94</v>
      </c>
      <c r="G23" s="5" t="n">
        <f aca="false">ROUND(SUMPRODUCT((Transactions!$A$2:$A$215=A23)*(Transactions!$B$2:$B$215=B23)*Transactions!$L$2:$L$215),2)</f>
        <v>460.16</v>
      </c>
      <c r="H23" s="5" t="n">
        <f aca="false">ROUND(SUMPRODUCT((Transactions!$A$2:$A$215=A23)*(Transactions!$B$2:$B$215=B23)*Transactions!$M$2:$M$215),2)</f>
        <v>2651.39</v>
      </c>
      <c r="I23" s="4" t="str">
        <f aca="false">IF(AND(ABS(F23-C23)&lt;=0.02,ABS(G23-D23)&lt;=0.05,ABS(H23-E23)&lt;=0.02),"OK","CHECK")</f>
        <v>OK</v>
      </c>
    </row>
    <row r="24" customFormat="false" ht="15" hidden="false" customHeight="true" outlineLevel="0" collapsed="false">
      <c r="A24" s="4" t="s">
        <v>44</v>
      </c>
      <c r="B24" s="4" t="s">
        <v>165</v>
      </c>
      <c r="C24" s="5" t="n">
        <v>242.86</v>
      </c>
      <c r="D24" s="5" t="n">
        <v>366.51</v>
      </c>
      <c r="E24" s="5" t="n">
        <v>2111.77</v>
      </c>
      <c r="F24" s="5" t="n">
        <f aca="false">ROUND(SUMPRODUCT((Transactions!$A$2:$A$215=A24)*(Transactions!$B$2:$B$215=B24)*Transactions!$J$2:$J$215),2)</f>
        <v>242.86</v>
      </c>
      <c r="G24" s="5" t="n">
        <f aca="false">ROUND(SUMPRODUCT((Transactions!$A$2:$A$215=A24)*(Transactions!$B$2:$B$215=B24)*Transactions!$L$2:$L$215),2)</f>
        <v>366.51</v>
      </c>
      <c r="H24" s="5" t="n">
        <f aca="false">ROUND(SUMPRODUCT((Transactions!$A$2:$A$215=A24)*(Transactions!$B$2:$B$215=B24)*Transactions!$M$2:$M$215),2)</f>
        <v>2111.77</v>
      </c>
      <c r="I24" s="4" t="str">
        <f aca="false">IF(AND(ABS(F24-C24)&lt;=0.02,ABS(G24-D24)&lt;=0.05,ABS(H24-E24)&lt;=0.02),"OK","CHECK")</f>
        <v>OK</v>
      </c>
    </row>
    <row r="25" customFormat="false" ht="15" hidden="false" customHeight="true" outlineLevel="0" collapsed="false">
      <c r="A25" s="4" t="s">
        <v>44</v>
      </c>
      <c r="B25" s="4" t="s">
        <v>170</v>
      </c>
      <c r="C25" s="5" t="n">
        <v>363.73</v>
      </c>
      <c r="D25" s="5" t="n">
        <v>527.28</v>
      </c>
      <c r="E25" s="5" t="n">
        <v>3038.14</v>
      </c>
      <c r="F25" s="5" t="n">
        <f aca="false">ROUND(SUMPRODUCT((Transactions!$A$2:$A$215=A25)*(Transactions!$B$2:$B$215=B25)*Transactions!$J$2:$J$215),2)</f>
        <v>363.73</v>
      </c>
      <c r="G25" s="5" t="n">
        <f aca="false">ROUND(SUMPRODUCT((Transactions!$A$2:$A$215=A25)*(Transactions!$B$2:$B$215=B25)*Transactions!$L$2:$L$215),2)</f>
        <v>527.28</v>
      </c>
      <c r="H25" s="5" t="n">
        <f aca="false">ROUND(SUMPRODUCT((Transactions!$A$2:$A$215=A25)*(Transactions!$B$2:$B$215=B25)*Transactions!$M$2:$M$215),2)</f>
        <v>3038.14</v>
      </c>
      <c r="I25" s="4" t="str">
        <f aca="false">IF(AND(ABS(F25-C25)&lt;=0.02,ABS(G25-D25)&lt;=0.05,ABS(H25-E25)&lt;=0.02),"OK","CHECK")</f>
        <v>OK</v>
      </c>
    </row>
    <row r="26" customFormat="false" ht="15" hidden="false" customHeight="true" outlineLevel="0" collapsed="false">
      <c r="A26" s="4" t="s">
        <v>44</v>
      </c>
      <c r="B26" s="4" t="s">
        <v>176</v>
      </c>
      <c r="C26" s="5" t="n">
        <v>199.95</v>
      </c>
      <c r="D26" s="5" t="n">
        <v>282.09</v>
      </c>
      <c r="E26" s="5" t="n">
        <v>1625.33</v>
      </c>
      <c r="F26" s="5" t="n">
        <f aca="false">ROUND(SUMPRODUCT((Transactions!$A$2:$A$215=A26)*(Transactions!$B$2:$B$215=B26)*Transactions!$J$2:$J$215),2)</f>
        <v>199.95</v>
      </c>
      <c r="G26" s="5" t="n">
        <f aca="false">ROUND(SUMPRODUCT((Transactions!$A$2:$A$215=A26)*(Transactions!$B$2:$B$215=B26)*Transactions!$L$2:$L$215),2)</f>
        <v>282.09</v>
      </c>
      <c r="H26" s="5" t="n">
        <f aca="false">ROUND(SUMPRODUCT((Transactions!$A$2:$A$215=A26)*(Transactions!$B$2:$B$215=B26)*Transactions!$M$2:$M$215),2)</f>
        <v>1625.33</v>
      </c>
      <c r="I26" s="4" t="str">
        <f aca="false">IF(AND(ABS(F26-C26)&lt;=0.02,ABS(G26-D26)&lt;=0.05,ABS(H26-E26)&lt;=0.02),"OK","CHECK")</f>
        <v>OK</v>
      </c>
    </row>
    <row r="27" customFormat="false" ht="15" hidden="false" customHeight="true" outlineLevel="0" collapsed="false">
      <c r="A27" s="4" t="s">
        <v>44</v>
      </c>
      <c r="B27" s="4" t="s">
        <v>181</v>
      </c>
      <c r="C27" s="5" t="n">
        <v>132.77</v>
      </c>
      <c r="D27" s="5" t="n">
        <v>186.02</v>
      </c>
      <c r="E27" s="5" t="n">
        <v>1071.81</v>
      </c>
      <c r="F27" s="5" t="n">
        <f aca="false">ROUND(SUMPRODUCT((Transactions!$A$2:$A$215=A27)*(Transactions!$B$2:$B$215=B27)*Transactions!$J$2:$J$215),2)</f>
        <v>132.77</v>
      </c>
      <c r="G27" s="5" t="n">
        <f aca="false">ROUND(SUMPRODUCT((Transactions!$A$2:$A$215=A27)*(Transactions!$B$2:$B$215=B27)*Transactions!$L$2:$L$215),2)</f>
        <v>186.02</v>
      </c>
      <c r="H27" s="5" t="n">
        <f aca="false">ROUND(SUMPRODUCT((Transactions!$A$2:$A$215=A27)*(Transactions!$B$2:$B$215=B27)*Transactions!$M$2:$M$215),2)</f>
        <v>1071.81</v>
      </c>
      <c r="I27" s="4" t="str">
        <f aca="false">IF(AND(ABS(F27-C27)&lt;=0.02,ABS(G27-D27)&lt;=0.05,ABS(H27-E27)&lt;=0.02),"OK","CHECK")</f>
        <v>OK</v>
      </c>
    </row>
    <row r="28" customFormat="false" ht="15" hidden="false" customHeight="true" outlineLevel="0" collapsed="false">
      <c r="A28" s="4" t="s">
        <v>44</v>
      </c>
      <c r="B28" s="4" t="s">
        <v>184</v>
      </c>
      <c r="C28" s="5" t="n">
        <v>3.48</v>
      </c>
      <c r="D28" s="5" t="n">
        <v>18.94</v>
      </c>
      <c r="E28" s="5" t="n">
        <v>109.19</v>
      </c>
      <c r="F28" s="5" t="n">
        <f aca="false">ROUND(SUMPRODUCT((Transactions!$A$2:$A$215=A28)*(Transactions!$B$2:$B$215=B28)*Transactions!$J$2:$J$215),2)</f>
        <v>3.48</v>
      </c>
      <c r="G28" s="5" t="n">
        <f aca="false">ROUND(SUMPRODUCT((Transactions!$A$2:$A$215=A28)*(Transactions!$B$2:$B$215=B28)*Transactions!$L$2:$L$215),2)</f>
        <v>18.94</v>
      </c>
      <c r="H28" s="5" t="n">
        <f aca="false">ROUND(SUMPRODUCT((Transactions!$A$2:$A$215=A28)*(Transactions!$B$2:$B$215=B28)*Transactions!$M$2:$M$215),2)</f>
        <v>109.19</v>
      </c>
      <c r="I28" s="4" t="str">
        <f aca="false">IF(AND(ABS(F28-C28)&lt;=0.02,ABS(G28-D28)&lt;=0.05,ABS(H28-E28)&lt;=0.02),"OK","CHECK")</f>
        <v>OK</v>
      </c>
    </row>
    <row r="29" customFormat="false" ht="15" hidden="false" customHeight="true" outlineLevel="0" collapsed="false">
      <c r="A29" s="4" t="s">
        <v>189</v>
      </c>
      <c r="B29" s="4" t="s">
        <v>45</v>
      </c>
      <c r="C29" s="5" t="n">
        <v>452.05</v>
      </c>
      <c r="D29" s="5" t="n">
        <v>630.96</v>
      </c>
      <c r="E29" s="5" t="n">
        <v>3635.5</v>
      </c>
      <c r="F29" s="5" t="n">
        <f aca="false">ROUND(SUMPRODUCT((Transactions!$A$2:$A$215=A29)*(Transactions!$B$2:$B$215=B29)*Transactions!$J$2:$J$215),2)</f>
        <v>452.05</v>
      </c>
      <c r="G29" s="5" t="n">
        <f aca="false">ROUND(SUMPRODUCT((Transactions!$A$2:$A$215=A29)*(Transactions!$B$2:$B$215=B29)*Transactions!$L$2:$L$215),2)</f>
        <v>630.96</v>
      </c>
      <c r="H29" s="5" t="n">
        <f aca="false">ROUND(SUMPRODUCT((Transactions!$A$2:$A$215=A29)*(Transactions!$B$2:$B$215=B29)*Transactions!$M$2:$M$215),2)</f>
        <v>3635.5</v>
      </c>
      <c r="I29" s="4" t="str">
        <f aca="false">IF(AND(ABS(F29-C29)&lt;=0.02,ABS(G29-D29)&lt;=0.05,ABS(H29-E29)&lt;=0.02),"OK","CHECK")</f>
        <v>OK</v>
      </c>
    </row>
    <row r="30" customFormat="false" ht="15" hidden="false" customHeight="true" outlineLevel="0" collapsed="false">
      <c r="A30" s="4" t="s">
        <v>189</v>
      </c>
      <c r="B30" s="4" t="s">
        <v>199</v>
      </c>
      <c r="C30" s="5" t="n">
        <v>4.2</v>
      </c>
      <c r="D30" s="5" t="n">
        <v>13.96</v>
      </c>
      <c r="E30" s="5" t="n">
        <v>80.44</v>
      </c>
      <c r="F30" s="5" t="n">
        <f aca="false">ROUND(SUMPRODUCT((Transactions!$A$2:$A$215=A30)*(Transactions!$B$2:$B$215=B30)*Transactions!$J$2:$J$215),2)</f>
        <v>4.2</v>
      </c>
      <c r="G30" s="5" t="n">
        <f aca="false">ROUND(SUMPRODUCT((Transactions!$A$2:$A$215=A30)*(Transactions!$B$2:$B$215=B30)*Transactions!$L$2:$L$215),2)</f>
        <v>13.96</v>
      </c>
      <c r="H30" s="5" t="n">
        <f aca="false">ROUND(SUMPRODUCT((Transactions!$A$2:$A$215=A30)*(Transactions!$B$2:$B$215=B30)*Transactions!$M$2:$M$215),2)</f>
        <v>80.44</v>
      </c>
      <c r="I30" s="4" t="str">
        <f aca="false">IF(AND(ABS(F30-C30)&lt;=0.02,ABS(G30-D30)&lt;=0.05,ABS(H30-E30)&lt;=0.02),"OK","CHECK")</f>
        <v>OK</v>
      </c>
    </row>
    <row r="31" customFormat="false" ht="15" hidden="false" customHeight="true" outlineLevel="0" collapsed="false">
      <c r="A31" s="4" t="s">
        <v>189</v>
      </c>
      <c r="B31" s="4" t="s">
        <v>202</v>
      </c>
      <c r="C31" s="5" t="n">
        <v>35</v>
      </c>
      <c r="D31" s="5" t="n">
        <v>109.39</v>
      </c>
      <c r="E31" s="5" t="n">
        <v>630.29</v>
      </c>
      <c r="F31" s="5" t="n">
        <f aca="false">ROUND(SUMPRODUCT((Transactions!$A$2:$A$215=A31)*(Transactions!$B$2:$B$215=B31)*Transactions!$J$2:$J$215),2)</f>
        <v>35</v>
      </c>
      <c r="G31" s="5" t="n">
        <f aca="false">ROUND(SUMPRODUCT((Transactions!$A$2:$A$215=A31)*(Transactions!$B$2:$B$215=B31)*Transactions!$L$2:$L$215),2)</f>
        <v>109.39</v>
      </c>
      <c r="H31" s="5" t="n">
        <f aca="false">ROUND(SUMPRODUCT((Transactions!$A$2:$A$215=A31)*(Transactions!$B$2:$B$215=B31)*Transactions!$M$2:$M$215),2)</f>
        <v>630.29</v>
      </c>
      <c r="I31" s="4" t="str">
        <f aca="false">IF(AND(ABS(F31-C31)&lt;=0.02,ABS(G31-D31)&lt;=0.05,ABS(H31-E31)&lt;=0.02),"OK","CHECK")</f>
        <v>OK</v>
      </c>
    </row>
    <row r="32" customFormat="false" ht="15" hidden="false" customHeight="true" outlineLevel="0" collapsed="false">
      <c r="A32" s="4" t="s">
        <v>189</v>
      </c>
      <c r="B32" s="4" t="s">
        <v>63</v>
      </c>
      <c r="C32" s="5" t="n">
        <v>307.31</v>
      </c>
      <c r="D32" s="5" t="n">
        <v>529.09</v>
      </c>
      <c r="E32" s="5" t="n">
        <v>3048.54</v>
      </c>
      <c r="F32" s="5" t="n">
        <f aca="false">ROUND(SUMPRODUCT((Transactions!$A$2:$A$215=A32)*(Transactions!$B$2:$B$215=B32)*Transactions!$J$2:$J$215),2)</f>
        <v>307.31</v>
      </c>
      <c r="G32" s="5" t="n">
        <f aca="false">ROUND(SUMPRODUCT((Transactions!$A$2:$A$215=A32)*(Transactions!$B$2:$B$215=B32)*Transactions!$L$2:$L$215),2)</f>
        <v>529.09</v>
      </c>
      <c r="H32" s="5" t="n">
        <f aca="false">ROUND(SUMPRODUCT((Transactions!$A$2:$A$215=A32)*(Transactions!$B$2:$B$215=B32)*Transactions!$M$2:$M$215),2)</f>
        <v>3048.54</v>
      </c>
      <c r="I32" s="4" t="str">
        <f aca="false">IF(AND(ABS(F32-C32)&lt;=0.02,ABS(G32-D32)&lt;=0.05,ABS(H32-E32)&lt;=0.02),"OK","CHECK")</f>
        <v>OK</v>
      </c>
    </row>
    <row r="33" customFormat="false" ht="15" hidden="false" customHeight="true" outlineLevel="0" collapsed="false">
      <c r="A33" s="4" t="s">
        <v>189</v>
      </c>
      <c r="B33" s="4" t="s">
        <v>71</v>
      </c>
      <c r="C33" s="5" t="n">
        <v>372.56</v>
      </c>
      <c r="D33" s="5" t="n">
        <v>469.31</v>
      </c>
      <c r="E33" s="5" t="n">
        <v>2704.12</v>
      </c>
      <c r="F33" s="5" t="n">
        <f aca="false">ROUND(SUMPRODUCT((Transactions!$A$2:$A$215=A33)*(Transactions!$B$2:$B$215=B33)*Transactions!$J$2:$J$215),2)</f>
        <v>372.56</v>
      </c>
      <c r="G33" s="5" t="n">
        <f aca="false">ROUND(SUMPRODUCT((Transactions!$A$2:$A$215=A33)*(Transactions!$B$2:$B$215=B33)*Transactions!$L$2:$L$215),2)</f>
        <v>469.31</v>
      </c>
      <c r="H33" s="5" t="n">
        <f aca="false">ROUND(SUMPRODUCT((Transactions!$A$2:$A$215=A33)*(Transactions!$B$2:$B$215=B33)*Transactions!$M$2:$M$215),2)</f>
        <v>2704.12</v>
      </c>
      <c r="I33" s="4" t="str">
        <f aca="false">IF(AND(ABS(F33-C33)&lt;=0.02,ABS(G33-D33)&lt;=0.05,ABS(H33-E33)&lt;=0.02),"OK","CHECK")</f>
        <v>OK</v>
      </c>
    </row>
    <row r="34" customFormat="false" ht="15" hidden="false" customHeight="true" outlineLevel="0" collapsed="false">
      <c r="A34" s="4" t="s">
        <v>189</v>
      </c>
      <c r="B34" s="4" t="s">
        <v>82</v>
      </c>
      <c r="C34" s="5" t="n">
        <v>379.25</v>
      </c>
      <c r="D34" s="5" t="n">
        <v>513.27</v>
      </c>
      <c r="E34" s="5" t="n">
        <v>2957.47</v>
      </c>
      <c r="F34" s="5" t="n">
        <f aca="false">ROUND(SUMPRODUCT((Transactions!$A$2:$A$215=A34)*(Transactions!$B$2:$B$215=B34)*Transactions!$J$2:$J$215),2)</f>
        <v>379.25</v>
      </c>
      <c r="G34" s="5" t="n">
        <f aca="false">ROUND(SUMPRODUCT((Transactions!$A$2:$A$215=A34)*(Transactions!$B$2:$B$215=B34)*Transactions!$L$2:$L$215),2)</f>
        <v>513.27</v>
      </c>
      <c r="H34" s="5" t="n">
        <f aca="false">ROUND(SUMPRODUCT((Transactions!$A$2:$A$215=A34)*(Transactions!$B$2:$B$215=B34)*Transactions!$M$2:$M$215),2)</f>
        <v>2957.47</v>
      </c>
      <c r="I34" s="4" t="str">
        <f aca="false">IF(AND(ABS(F34-C34)&lt;=0.02,ABS(G34-D34)&lt;=0.05,ABS(H34-E34)&lt;=0.02),"OK","CHECK")</f>
        <v>OK</v>
      </c>
    </row>
    <row r="35" customFormat="false" ht="15" hidden="false" customHeight="true" outlineLevel="0" collapsed="false">
      <c r="A35" s="4" t="s">
        <v>189</v>
      </c>
      <c r="B35" s="4" t="s">
        <v>87</v>
      </c>
      <c r="C35" s="5" t="n">
        <v>13.33</v>
      </c>
      <c r="D35" s="5" t="n">
        <v>86.52</v>
      </c>
      <c r="E35" s="5" t="n">
        <v>498.5</v>
      </c>
      <c r="F35" s="5" t="n">
        <f aca="false">ROUND(SUMPRODUCT((Transactions!$A$2:$A$215=A35)*(Transactions!$B$2:$B$215=B35)*Transactions!$J$2:$J$215),2)</f>
        <v>13.33</v>
      </c>
      <c r="G35" s="5" t="n">
        <f aca="false">ROUND(SUMPRODUCT((Transactions!$A$2:$A$215=A35)*(Transactions!$B$2:$B$215=B35)*Transactions!$L$2:$L$215),2)</f>
        <v>86.52</v>
      </c>
      <c r="H35" s="5" t="n">
        <f aca="false">ROUND(SUMPRODUCT((Transactions!$A$2:$A$215=A35)*(Transactions!$B$2:$B$215=B35)*Transactions!$M$2:$M$215),2)</f>
        <v>498.5</v>
      </c>
      <c r="I35" s="4" t="str">
        <f aca="false">IF(AND(ABS(F35-C35)&lt;=0.02,ABS(G35-D35)&lt;=0.05,ABS(H35-E35)&lt;=0.02),"OK","CHECK")</f>
        <v>OK</v>
      </c>
    </row>
    <row r="36" customFormat="false" ht="15" hidden="false" customHeight="true" outlineLevel="0" collapsed="false">
      <c r="A36" s="4" t="s">
        <v>189</v>
      </c>
      <c r="B36" s="4" t="s">
        <v>94</v>
      </c>
      <c r="C36" s="5" t="n">
        <v>265.65</v>
      </c>
      <c r="D36" s="5" t="n">
        <v>400.36</v>
      </c>
      <c r="E36" s="5" t="n">
        <v>2306.87</v>
      </c>
      <c r="F36" s="5" t="n">
        <f aca="false">ROUND(SUMPRODUCT((Transactions!$A$2:$A$215=A36)*(Transactions!$B$2:$B$215=B36)*Transactions!$J$2:$J$215),2)</f>
        <v>265.65</v>
      </c>
      <c r="G36" s="5" t="n">
        <f aca="false">ROUND(SUMPRODUCT((Transactions!$A$2:$A$215=A36)*(Transactions!$B$2:$B$215=B36)*Transactions!$L$2:$L$215),2)</f>
        <v>400.36</v>
      </c>
      <c r="H36" s="5" t="n">
        <f aca="false">ROUND(SUMPRODUCT((Transactions!$A$2:$A$215=A36)*(Transactions!$B$2:$B$215=B36)*Transactions!$M$2:$M$215),2)</f>
        <v>2306.87</v>
      </c>
      <c r="I36" s="4" t="str">
        <f aca="false">IF(AND(ABS(F36-C36)&lt;=0.02,ABS(G36-D36)&lt;=0.05,ABS(H36-E36)&lt;=0.02),"OK","CHECK")</f>
        <v>OK</v>
      </c>
    </row>
    <row r="37" customFormat="false" ht="15" hidden="false" customHeight="true" outlineLevel="0" collapsed="false">
      <c r="A37" s="4" t="s">
        <v>189</v>
      </c>
      <c r="B37" s="4" t="s">
        <v>99</v>
      </c>
      <c r="C37" s="5" t="n">
        <v>167.37</v>
      </c>
      <c r="D37" s="5" t="n">
        <v>232.98</v>
      </c>
      <c r="E37" s="5" t="n">
        <v>1342.42</v>
      </c>
      <c r="F37" s="5" t="n">
        <f aca="false">ROUND(SUMPRODUCT((Transactions!$A$2:$A$215=A37)*(Transactions!$B$2:$B$215=B37)*Transactions!$J$2:$J$215),2)</f>
        <v>167.37</v>
      </c>
      <c r="G37" s="5" t="n">
        <f aca="false">ROUND(SUMPRODUCT((Transactions!$A$2:$A$215=A37)*(Transactions!$B$2:$B$215=B37)*Transactions!$L$2:$L$215),2)</f>
        <v>232.98</v>
      </c>
      <c r="H37" s="5" t="n">
        <f aca="false">ROUND(SUMPRODUCT((Transactions!$A$2:$A$215=A37)*(Transactions!$B$2:$B$215=B37)*Transactions!$M$2:$M$215),2)</f>
        <v>1342.42</v>
      </c>
      <c r="I37" s="4" t="str">
        <f aca="false">IF(AND(ABS(F37-C37)&lt;=0.02,ABS(G37-D37)&lt;=0.05,ABS(H37-E37)&lt;=0.02),"OK","CHECK")</f>
        <v>OK</v>
      </c>
    </row>
    <row r="38" customFormat="false" ht="15" hidden="false" customHeight="true" outlineLevel="0" collapsed="false">
      <c r="A38" s="4" t="s">
        <v>189</v>
      </c>
      <c r="B38" s="4" t="s">
        <v>103</v>
      </c>
      <c r="C38" s="5" t="n">
        <v>13.32</v>
      </c>
      <c r="D38" s="5" t="n">
        <v>24.13</v>
      </c>
      <c r="E38" s="5" t="n">
        <v>139.03</v>
      </c>
      <c r="F38" s="5" t="n">
        <f aca="false">ROUND(SUMPRODUCT((Transactions!$A$2:$A$215=A38)*(Transactions!$B$2:$B$215=B38)*Transactions!$J$2:$J$215),2)</f>
        <v>13.32</v>
      </c>
      <c r="G38" s="5" t="n">
        <f aca="false">ROUND(SUMPRODUCT((Transactions!$A$2:$A$215=A38)*(Transactions!$B$2:$B$215=B38)*Transactions!$L$2:$L$215),2)</f>
        <v>24.13</v>
      </c>
      <c r="H38" s="5" t="n">
        <f aca="false">ROUND(SUMPRODUCT((Transactions!$A$2:$A$215=A38)*(Transactions!$B$2:$B$215=B38)*Transactions!$M$2:$M$215),2)</f>
        <v>139.03</v>
      </c>
      <c r="I38" s="4" t="str">
        <f aca="false">IF(AND(ABS(F38-C38)&lt;=0.02,ABS(G38-D38)&lt;=0.05,ABS(H38-E38)&lt;=0.02),"OK","CHECK")</f>
        <v>OK</v>
      </c>
    </row>
    <row r="39" customFormat="false" ht="15" hidden="false" customHeight="true" outlineLevel="0" collapsed="false">
      <c r="A39" s="4" t="s">
        <v>189</v>
      </c>
      <c r="B39" s="4" t="s">
        <v>107</v>
      </c>
      <c r="C39" s="5" t="n">
        <v>344.4</v>
      </c>
      <c r="D39" s="5" t="n">
        <v>475.8</v>
      </c>
      <c r="E39" s="5" t="n">
        <v>2741.47</v>
      </c>
      <c r="F39" s="5" t="n">
        <f aca="false">ROUND(SUMPRODUCT((Transactions!$A$2:$A$215=A39)*(Transactions!$B$2:$B$215=B39)*Transactions!$J$2:$J$215),2)</f>
        <v>344.4</v>
      </c>
      <c r="G39" s="5" t="n">
        <f aca="false">ROUND(SUMPRODUCT((Transactions!$A$2:$A$215=A39)*(Transactions!$B$2:$B$215=B39)*Transactions!$L$2:$L$215),2)</f>
        <v>475.8</v>
      </c>
      <c r="H39" s="5" t="n">
        <f aca="false">ROUND(SUMPRODUCT((Transactions!$A$2:$A$215=A39)*(Transactions!$B$2:$B$215=B39)*Transactions!$M$2:$M$215),2)</f>
        <v>2741.47</v>
      </c>
      <c r="I39" s="4" t="str">
        <f aca="false">IF(AND(ABS(F39-C39)&lt;=0.02,ABS(G39-D39)&lt;=0.05,ABS(H39-E39)&lt;=0.02),"OK","CHECK")</f>
        <v>OK</v>
      </c>
    </row>
    <row r="40" customFormat="false" ht="15" hidden="false" customHeight="true" outlineLevel="0" collapsed="false">
      <c r="A40" s="4" t="s">
        <v>189</v>
      </c>
      <c r="B40" s="4" t="s">
        <v>120</v>
      </c>
      <c r="C40" s="5" t="n">
        <v>466.63</v>
      </c>
      <c r="D40" s="5" t="n">
        <v>617.57</v>
      </c>
      <c r="E40" s="5" t="n">
        <v>3558.39</v>
      </c>
      <c r="F40" s="5" t="n">
        <f aca="false">ROUND(SUMPRODUCT((Transactions!$A$2:$A$215=A40)*(Transactions!$B$2:$B$215=B40)*Transactions!$J$2:$J$215),2)</f>
        <v>466.63</v>
      </c>
      <c r="G40" s="5" t="n">
        <f aca="false">ROUND(SUMPRODUCT((Transactions!$A$2:$A$215=A40)*(Transactions!$B$2:$B$215=B40)*Transactions!$L$2:$L$215),2)</f>
        <v>617.57</v>
      </c>
      <c r="H40" s="5" t="n">
        <f aca="false">ROUND(SUMPRODUCT((Transactions!$A$2:$A$215=A40)*(Transactions!$B$2:$B$215=B40)*Transactions!$M$2:$M$215),2)</f>
        <v>3558.39</v>
      </c>
      <c r="I40" s="4" t="str">
        <f aca="false">IF(AND(ABS(F40-C40)&lt;=0.02,ABS(G40-D40)&lt;=0.05,ABS(H40-E40)&lt;=0.02),"OK","CHECK")</f>
        <v>OK</v>
      </c>
    </row>
    <row r="41" customFormat="false" ht="15" hidden="false" customHeight="true" outlineLevel="0" collapsed="false">
      <c r="A41" s="4" t="s">
        <v>189</v>
      </c>
      <c r="B41" s="4" t="s">
        <v>123</v>
      </c>
      <c r="C41" s="5" t="n">
        <v>168.43</v>
      </c>
      <c r="D41" s="5" t="n">
        <v>226.4</v>
      </c>
      <c r="E41" s="5" t="n">
        <v>1304.49</v>
      </c>
      <c r="F41" s="5" t="n">
        <f aca="false">ROUND(SUMPRODUCT((Transactions!$A$2:$A$215=A41)*(Transactions!$B$2:$B$215=B41)*Transactions!$J$2:$J$215),2)</f>
        <v>168.43</v>
      </c>
      <c r="G41" s="5" t="n">
        <f aca="false">ROUND(SUMPRODUCT((Transactions!$A$2:$A$215=A41)*(Transactions!$B$2:$B$215=B41)*Transactions!$L$2:$L$215),2)</f>
        <v>226.4</v>
      </c>
      <c r="H41" s="5" t="n">
        <f aca="false">ROUND(SUMPRODUCT((Transactions!$A$2:$A$215=A41)*(Transactions!$B$2:$B$215=B41)*Transactions!$M$2:$M$215),2)</f>
        <v>1304.49</v>
      </c>
      <c r="I41" s="4" t="str">
        <f aca="false">IF(AND(ABS(F41-C41)&lt;=0.02,ABS(G41-D41)&lt;=0.05,ABS(H41-E41)&lt;=0.02),"OK","CHECK")</f>
        <v>OK</v>
      </c>
    </row>
    <row r="42" customFormat="false" ht="15" hidden="false" customHeight="true" outlineLevel="0" collapsed="false">
      <c r="A42" s="4" t="s">
        <v>189</v>
      </c>
      <c r="B42" s="4" t="s">
        <v>126</v>
      </c>
      <c r="C42" s="5" t="n">
        <v>268.45</v>
      </c>
      <c r="D42" s="5" t="n">
        <v>435.44</v>
      </c>
      <c r="E42" s="5" t="n">
        <v>2508.9</v>
      </c>
      <c r="F42" s="5" t="n">
        <f aca="false">ROUND(SUMPRODUCT((Transactions!$A$2:$A$215=A42)*(Transactions!$B$2:$B$215=B42)*Transactions!$J$2:$J$215),2)</f>
        <v>268.45</v>
      </c>
      <c r="G42" s="5" t="n">
        <f aca="false">ROUND(SUMPRODUCT((Transactions!$A$2:$A$215=A42)*(Transactions!$B$2:$B$215=B42)*Transactions!$L$2:$L$215),2)</f>
        <v>435.44</v>
      </c>
      <c r="H42" s="5" t="n">
        <f aca="false">ROUND(SUMPRODUCT((Transactions!$A$2:$A$215=A42)*(Transactions!$B$2:$B$215=B42)*Transactions!$M$2:$M$215),2)</f>
        <v>2508.9</v>
      </c>
      <c r="I42" s="4" t="str">
        <f aca="false">IF(AND(ABS(F42-C42)&lt;=0.02,ABS(G42-D42)&lt;=0.05,ABS(H42-E42)&lt;=0.02),"OK","CHECK")</f>
        <v>OK</v>
      </c>
    </row>
    <row r="43" customFormat="false" ht="15" hidden="false" customHeight="true" outlineLevel="0" collapsed="false">
      <c r="A43" s="4" t="s">
        <v>189</v>
      </c>
      <c r="B43" s="4" t="s">
        <v>132</v>
      </c>
      <c r="C43" s="5" t="n">
        <v>31.22</v>
      </c>
      <c r="D43" s="5" t="n">
        <v>14.07</v>
      </c>
      <c r="E43" s="5" t="n">
        <v>81.09</v>
      </c>
      <c r="F43" s="5" t="n">
        <f aca="false">ROUND(SUMPRODUCT((Transactions!$A$2:$A$215=A43)*(Transactions!$B$2:$B$215=B43)*Transactions!$J$2:$J$215),2)</f>
        <v>31.22</v>
      </c>
      <c r="G43" s="5" t="n">
        <f aca="false">ROUND(SUMPRODUCT((Transactions!$A$2:$A$215=A43)*(Transactions!$B$2:$B$215=B43)*Transactions!$L$2:$L$215),2)</f>
        <v>14.07</v>
      </c>
      <c r="H43" s="5" t="n">
        <f aca="false">ROUND(SUMPRODUCT((Transactions!$A$2:$A$215=A43)*(Transactions!$B$2:$B$215=B43)*Transactions!$M$2:$M$215),2)</f>
        <v>81.09</v>
      </c>
      <c r="I43" s="4" t="str">
        <f aca="false">IF(AND(ABS(F43-C43)&lt;=0.02,ABS(G43-D43)&lt;=0.05,ABS(H43-E43)&lt;=0.02),"OK","CHECK")</f>
        <v>OK</v>
      </c>
    </row>
    <row r="44" customFormat="false" ht="15" hidden="false" customHeight="true" outlineLevel="0" collapsed="false">
      <c r="A44" s="4" t="s">
        <v>189</v>
      </c>
      <c r="B44" s="4" t="s">
        <v>142</v>
      </c>
      <c r="C44" s="5" t="n">
        <v>460.97</v>
      </c>
      <c r="D44" s="5" t="n">
        <v>589.73</v>
      </c>
      <c r="E44" s="5" t="n">
        <v>3397.97</v>
      </c>
      <c r="F44" s="5" t="n">
        <f aca="false">ROUND(SUMPRODUCT((Transactions!$A$2:$A$215=A44)*(Transactions!$B$2:$B$215=B44)*Transactions!$J$2:$J$215),2)</f>
        <v>460.97</v>
      </c>
      <c r="G44" s="5" t="n">
        <f aca="false">ROUND(SUMPRODUCT((Transactions!$A$2:$A$215=A44)*(Transactions!$B$2:$B$215=B44)*Transactions!$L$2:$L$215),2)</f>
        <v>589.73</v>
      </c>
      <c r="H44" s="5" t="n">
        <f aca="false">ROUND(SUMPRODUCT((Transactions!$A$2:$A$215=A44)*(Transactions!$B$2:$B$215=B44)*Transactions!$M$2:$M$215),2)</f>
        <v>3397.97</v>
      </c>
      <c r="I44" s="4" t="str">
        <f aca="false">IF(AND(ABS(F44-C44)&lt;=0.02,ABS(G44-D44)&lt;=0.05,ABS(H44-E44)&lt;=0.02),"OK","CHECK")</f>
        <v>OK</v>
      </c>
    </row>
    <row r="45" customFormat="false" ht="15" hidden="false" customHeight="true" outlineLevel="0" collapsed="false">
      <c r="A45" s="4" t="s">
        <v>189</v>
      </c>
      <c r="B45" s="4" t="s">
        <v>151</v>
      </c>
      <c r="C45" s="5" t="n">
        <v>395.09</v>
      </c>
      <c r="D45" s="5" t="n">
        <v>507.27</v>
      </c>
      <c r="E45" s="5" t="n">
        <v>2922.82</v>
      </c>
      <c r="F45" s="5" t="n">
        <f aca="false">ROUND(SUMPRODUCT((Transactions!$A$2:$A$215=A45)*(Transactions!$B$2:$B$215=B45)*Transactions!$J$2:$J$215),2)</f>
        <v>395.09</v>
      </c>
      <c r="G45" s="5" t="n">
        <f aca="false">ROUND(SUMPRODUCT((Transactions!$A$2:$A$215=A45)*(Transactions!$B$2:$B$215=B45)*Transactions!$L$2:$L$215),2)</f>
        <v>507.27</v>
      </c>
      <c r="H45" s="5" t="n">
        <f aca="false">ROUND(SUMPRODUCT((Transactions!$A$2:$A$215=A45)*(Transactions!$B$2:$B$215=B45)*Transactions!$M$2:$M$215),2)</f>
        <v>2922.82</v>
      </c>
      <c r="I45" s="4" t="str">
        <f aca="false">IF(AND(ABS(F45-C45)&lt;=0.02,ABS(G45-D45)&lt;=0.05,ABS(H45-E45)&lt;=0.02),"OK","CHECK")</f>
        <v>OK</v>
      </c>
    </row>
    <row r="46" customFormat="false" ht="15" hidden="false" customHeight="true" outlineLevel="0" collapsed="false">
      <c r="A46" s="4" t="s">
        <v>189</v>
      </c>
      <c r="B46" s="4" t="s">
        <v>157</v>
      </c>
      <c r="C46" s="5" t="n">
        <v>33.37</v>
      </c>
      <c r="D46" s="5" t="n">
        <v>15.2</v>
      </c>
      <c r="E46" s="5" t="n">
        <v>87.61</v>
      </c>
      <c r="F46" s="5" t="n">
        <f aca="false">ROUND(SUMPRODUCT((Transactions!$A$2:$A$215=A46)*(Transactions!$B$2:$B$215=B46)*Transactions!$J$2:$J$215),2)</f>
        <v>33.37</v>
      </c>
      <c r="G46" s="5" t="n">
        <f aca="false">ROUND(SUMPRODUCT((Transactions!$A$2:$A$215=A46)*(Transactions!$B$2:$B$215=B46)*Transactions!$L$2:$L$215),2)</f>
        <v>15.2</v>
      </c>
      <c r="H46" s="5" t="n">
        <f aca="false">ROUND(SUMPRODUCT((Transactions!$A$2:$A$215=A46)*(Transactions!$B$2:$B$215=B46)*Transactions!$M$2:$M$215),2)</f>
        <v>87.61</v>
      </c>
      <c r="I46" s="4" t="str">
        <f aca="false">IF(AND(ABS(F46-C46)&lt;=0.02,ABS(G46-D46)&lt;=0.05,ABS(H46-E46)&lt;=0.02),"OK","CHECK")</f>
        <v>OK</v>
      </c>
    </row>
    <row r="47" customFormat="false" ht="15" hidden="false" customHeight="true" outlineLevel="0" collapsed="false">
      <c r="A47" s="4" t="s">
        <v>189</v>
      </c>
      <c r="B47" s="4" t="s">
        <v>159</v>
      </c>
      <c r="C47" s="5" t="n">
        <v>511.55</v>
      </c>
      <c r="D47" s="5" t="n">
        <v>694.13</v>
      </c>
      <c r="E47" s="5" t="n">
        <v>3999.54</v>
      </c>
      <c r="F47" s="5" t="n">
        <f aca="false">ROUND(SUMPRODUCT((Transactions!$A$2:$A$215=A47)*(Transactions!$B$2:$B$215=B47)*Transactions!$J$2:$J$215),2)</f>
        <v>511.55</v>
      </c>
      <c r="G47" s="5" t="n">
        <f aca="false">ROUND(SUMPRODUCT((Transactions!$A$2:$A$215=A47)*(Transactions!$B$2:$B$215=B47)*Transactions!$L$2:$L$215),2)</f>
        <v>694.13</v>
      </c>
      <c r="H47" s="5" t="n">
        <f aca="false">ROUND(SUMPRODUCT((Transactions!$A$2:$A$215=A47)*(Transactions!$B$2:$B$215=B47)*Transactions!$M$2:$M$215),2)</f>
        <v>3999.54</v>
      </c>
      <c r="I47" s="4" t="str">
        <f aca="false">IF(AND(ABS(F47-C47)&lt;=0.02,ABS(G47-D47)&lt;=0.05,ABS(H47-E47)&lt;=0.02),"OK","CHECK")</f>
        <v>OK</v>
      </c>
    </row>
    <row r="48" customFormat="false" ht="15" hidden="false" customHeight="true" outlineLevel="0" collapsed="false">
      <c r="A48" s="4" t="s">
        <v>189</v>
      </c>
      <c r="B48" s="4" t="s">
        <v>165</v>
      </c>
      <c r="C48" s="5" t="n">
        <v>327</v>
      </c>
      <c r="D48" s="5" t="n">
        <v>403.55</v>
      </c>
      <c r="E48" s="5" t="n">
        <v>2325.22</v>
      </c>
      <c r="F48" s="5" t="n">
        <f aca="false">ROUND(SUMPRODUCT((Transactions!$A$2:$A$215=A48)*(Transactions!$B$2:$B$215=B48)*Transactions!$J$2:$J$215),2)</f>
        <v>327</v>
      </c>
      <c r="G48" s="5" t="n">
        <f aca="false">ROUND(SUMPRODUCT((Transactions!$A$2:$A$215=A48)*(Transactions!$B$2:$B$215=B48)*Transactions!$L$2:$L$215),2)</f>
        <v>403.55</v>
      </c>
      <c r="H48" s="5" t="n">
        <f aca="false">ROUND(SUMPRODUCT((Transactions!$A$2:$A$215=A48)*(Transactions!$B$2:$B$215=B48)*Transactions!$M$2:$M$215),2)</f>
        <v>2325.22</v>
      </c>
      <c r="I48" s="4" t="str">
        <f aca="false">IF(AND(ABS(F48-C48)&lt;=0.02,ABS(G48-D48)&lt;=0.05,ABS(H48-E48)&lt;=0.02),"OK","CHECK")</f>
        <v>OK</v>
      </c>
    </row>
    <row r="49" customFormat="false" ht="15" hidden="false" customHeight="true" outlineLevel="0" collapsed="false">
      <c r="A49" s="4" t="s">
        <v>189</v>
      </c>
      <c r="B49" s="4" t="s">
        <v>288</v>
      </c>
      <c r="C49" s="5" t="n">
        <v>8.36</v>
      </c>
      <c r="D49" s="5" t="n">
        <v>27.79</v>
      </c>
      <c r="E49" s="5" t="n">
        <v>160.14</v>
      </c>
      <c r="F49" s="5" t="n">
        <f aca="false">ROUND(SUMPRODUCT((Transactions!$A$2:$A$215=A49)*(Transactions!$B$2:$B$215=B49)*Transactions!$J$2:$J$215),2)</f>
        <v>8.36</v>
      </c>
      <c r="G49" s="5" t="n">
        <f aca="false">ROUND(SUMPRODUCT((Transactions!$A$2:$A$215=A49)*(Transactions!$B$2:$B$215=B49)*Transactions!$L$2:$L$215),2)</f>
        <v>27.79</v>
      </c>
      <c r="H49" s="5" t="n">
        <f aca="false">ROUND(SUMPRODUCT((Transactions!$A$2:$A$215=A49)*(Transactions!$B$2:$B$215=B49)*Transactions!$M$2:$M$215),2)</f>
        <v>160.14</v>
      </c>
      <c r="I49" s="4" t="str">
        <f aca="false">IF(AND(ABS(F49-C49)&lt;=0.02,ABS(G49-D49)&lt;=0.05,ABS(H49-E49)&lt;=0.02),"OK","CHECK")</f>
        <v>OK</v>
      </c>
    </row>
    <row r="50" customFormat="false" ht="15" hidden="false" customHeight="true" outlineLevel="0" collapsed="false">
      <c r="A50" s="4" t="s">
        <v>189</v>
      </c>
      <c r="B50" s="4" t="s">
        <v>170</v>
      </c>
      <c r="C50" s="5" t="n">
        <v>7.04</v>
      </c>
      <c r="D50" s="5" t="n">
        <v>4.46</v>
      </c>
      <c r="E50" s="5" t="n">
        <v>25.72</v>
      </c>
      <c r="F50" s="5" t="n">
        <f aca="false">ROUND(SUMPRODUCT((Transactions!$A$2:$A$215=A50)*(Transactions!$B$2:$B$215=B50)*Transactions!$J$2:$J$215),2)</f>
        <v>7.04</v>
      </c>
      <c r="G50" s="5" t="n">
        <f aca="false">ROUND(SUMPRODUCT((Transactions!$A$2:$A$215=A50)*(Transactions!$B$2:$B$215=B50)*Transactions!$L$2:$L$215),2)</f>
        <v>4.46</v>
      </c>
      <c r="H50" s="5" t="n">
        <f aca="false">ROUND(SUMPRODUCT((Transactions!$A$2:$A$215=A50)*(Transactions!$B$2:$B$215=B50)*Transactions!$M$2:$M$215),2)</f>
        <v>25.72</v>
      </c>
      <c r="I50" s="4" t="str">
        <f aca="false">IF(AND(ABS(F50-C50)&lt;=0.02,ABS(G50-D50)&lt;=0.05,ABS(H50-E50)&lt;=0.02),"OK","CHECK")</f>
        <v>OK</v>
      </c>
    </row>
    <row r="51" customFormat="false" ht="15" hidden="false" customHeight="true" outlineLevel="0" collapsed="false">
      <c r="A51" s="4" t="s">
        <v>189</v>
      </c>
      <c r="B51" s="4" t="s">
        <v>176</v>
      </c>
      <c r="C51" s="5" t="n">
        <v>301.2</v>
      </c>
      <c r="D51" s="5" t="n">
        <v>407.43</v>
      </c>
      <c r="E51" s="5" t="n">
        <v>2347.69</v>
      </c>
      <c r="F51" s="5" t="n">
        <f aca="false">ROUND(SUMPRODUCT((Transactions!$A$2:$A$215=A51)*(Transactions!$B$2:$B$215=B51)*Transactions!$J$2:$J$215),2)</f>
        <v>301.2</v>
      </c>
      <c r="G51" s="5" t="n">
        <f aca="false">ROUND(SUMPRODUCT((Transactions!$A$2:$A$215=A51)*(Transactions!$B$2:$B$215=B51)*Transactions!$L$2:$L$215),2)</f>
        <v>407.43</v>
      </c>
      <c r="H51" s="5" t="n">
        <f aca="false">ROUND(SUMPRODUCT((Transactions!$A$2:$A$215=A51)*(Transactions!$B$2:$B$215=B51)*Transactions!$M$2:$M$215),2)</f>
        <v>2347.69</v>
      </c>
      <c r="I51" s="4" t="str">
        <f aca="false">IF(AND(ABS(F51-C51)&lt;=0.02,ABS(G51-D51)&lt;=0.05,ABS(H51-E51)&lt;=0.02),"OK","CHECK")</f>
        <v>OK</v>
      </c>
    </row>
    <row r="52" customFormat="false" ht="15" hidden="false" customHeight="true" outlineLevel="0" collapsed="false">
      <c r="A52" s="4" t="s">
        <v>189</v>
      </c>
      <c r="B52" s="4" t="s">
        <v>297</v>
      </c>
      <c r="C52" s="5" t="n">
        <v>339.85</v>
      </c>
      <c r="D52" s="5" t="n">
        <v>481.75</v>
      </c>
      <c r="E52" s="5" t="n">
        <v>2775.74</v>
      </c>
      <c r="F52" s="5" t="n">
        <f aca="false">ROUND(SUMPRODUCT((Transactions!$A$2:$A$215=A52)*(Transactions!$B$2:$B$215=B52)*Transactions!$J$2:$J$215),2)</f>
        <v>339.85</v>
      </c>
      <c r="G52" s="5" t="n">
        <f aca="false">ROUND(SUMPRODUCT((Transactions!$A$2:$A$215=A52)*(Transactions!$B$2:$B$215=B52)*Transactions!$L$2:$L$215),2)</f>
        <v>481.75</v>
      </c>
      <c r="H52" s="5" t="n">
        <f aca="false">ROUND(SUMPRODUCT((Transactions!$A$2:$A$215=A52)*(Transactions!$B$2:$B$215=B52)*Transactions!$M$2:$M$215),2)</f>
        <v>2775.74</v>
      </c>
      <c r="I52" s="4" t="str">
        <f aca="false">IF(AND(ABS(F52-C52)&lt;=0.02,ABS(G52-D52)&lt;=0.05,ABS(H52-E52)&lt;=0.02),"OK","CHECK")</f>
        <v>OK</v>
      </c>
    </row>
    <row r="53" customFormat="false" ht="15" hidden="false" customHeight="true" outlineLevel="0" collapsed="false">
      <c r="A53" s="4" t="s">
        <v>189</v>
      </c>
      <c r="B53" s="4" t="s">
        <v>181</v>
      </c>
      <c r="C53" s="5" t="n">
        <v>353.87</v>
      </c>
      <c r="D53" s="5" t="n">
        <v>492.85</v>
      </c>
      <c r="E53" s="5" t="n">
        <v>2839.75</v>
      </c>
      <c r="F53" s="5" t="n">
        <f aca="false">ROUND(SUMPRODUCT((Transactions!$A$2:$A$215=A53)*(Transactions!$B$2:$B$215=B53)*Transactions!$J$2:$J$215),2)</f>
        <v>353.87</v>
      </c>
      <c r="G53" s="5" t="n">
        <f aca="false">ROUND(SUMPRODUCT((Transactions!$A$2:$A$215=A53)*(Transactions!$B$2:$B$215=B53)*Transactions!$L$2:$L$215),2)</f>
        <v>492.85</v>
      </c>
      <c r="H53" s="5" t="n">
        <f aca="false">ROUND(SUMPRODUCT((Transactions!$A$2:$A$215=A53)*(Transactions!$B$2:$B$215=B53)*Transactions!$M$2:$M$215),2)</f>
        <v>2839.75</v>
      </c>
      <c r="I53" s="4" t="str">
        <f aca="false">IF(AND(ABS(F53-C53)&lt;=0.02,ABS(G53-D53)&lt;=0.05,ABS(H53-E53)&lt;=0.02),"OK","CHECK")</f>
        <v>OK</v>
      </c>
    </row>
    <row r="54" customFormat="false" ht="15" hidden="false" customHeight="true" outlineLevel="0" collapsed="false">
      <c r="A54" s="4" t="s">
        <v>189</v>
      </c>
      <c r="B54" s="4" t="s">
        <v>184</v>
      </c>
      <c r="C54" s="5" t="n">
        <v>7.49</v>
      </c>
      <c r="D54" s="5" t="n">
        <v>4.75</v>
      </c>
      <c r="E54" s="5" t="n">
        <v>27.38</v>
      </c>
      <c r="F54" s="5" t="n">
        <f aca="false">ROUND(SUMPRODUCT((Transactions!$A$2:$A$215=A54)*(Transactions!$B$2:$B$215=B54)*Transactions!$J$2:$J$215),2)</f>
        <v>7.49</v>
      </c>
      <c r="G54" s="5" t="n">
        <f aca="false">ROUND(SUMPRODUCT((Transactions!$A$2:$A$215=A54)*(Transactions!$B$2:$B$215=B54)*Transactions!$L$2:$L$215),2)</f>
        <v>4.75</v>
      </c>
      <c r="H54" s="5" t="n">
        <f aca="false">ROUND(SUMPRODUCT((Transactions!$A$2:$A$215=A54)*(Transactions!$B$2:$B$215=B54)*Transactions!$M$2:$M$215),2)</f>
        <v>27.38</v>
      </c>
      <c r="I54" s="4" t="str">
        <f aca="false">IF(AND(ABS(F54-C54)&lt;=0.02,ABS(G54-D54)&lt;=0.05,ABS(H54-E54)&lt;=0.02),"OK","CHECK")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2026-06-11T05:35:29Z</dcterms:created>
  <dc:creator>openpyxl</dc:creator>
  <dc:description/>
  <dc:language>en-US</dc:language>
  <cp:lastModifiedBy/>
  <dcterms:modified xsi:type="dcterms:W3CDTF">2026-06-11T05:36:18Z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