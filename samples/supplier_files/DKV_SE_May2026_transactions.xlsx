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 summary" sheetId="1" state="visible" r:id="rId3"/>
    <sheet name="Transactions" sheetId="2" state="visible" r:id="rId4"/>
    <sheet name="Card totals check" sheetId="3" state="visible" r:id="rId5"/>
    <sheet name="Invoice totals check" sheetId="4" state="visible" r:id="rId6"/>
  </sheets>
  <definedNames>
    <definedName function="false" hidden="true" localSheetId="1" name="_xlnm._FilterDatabase" vbProcedure="false">Transactions!$A$1:$V$86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<sst xmlns="http://schemas.openxmlformats.org/spreadsheetml/2006/main" count="746" uniqueCount="235">
  <si>
    <t xml:space="preserve">DKV SWEDEN MAY 2026 - JUPITER PLUS AS - NET PRICE OVERVIEW (SEK excl. 25% VAT, after DKV discount)</t>
  </si>
  <si>
    <t xml:space="preserve">Invoices 26/651689595/011 (1-15 May, due per DKV terms) + 26/652169828/011 (16-31 May); payable in EUR</t>
  </si>
  <si>
    <t xml:space="preserve">Diesel by station (city)</t>
  </si>
  <si>
    <t xml:space="preserve">Litres</t>
  </si>
  <si>
    <t xml:space="preserve">Net SEK after disc</t>
  </si>
  <si>
    <t xml:space="preserve">Eff. net SEK/L</t>
  </si>
  <si>
    <t xml:space="preserve">approx EUR/L @10.80</t>
  </si>
  <si>
    <t xml:space="preserve">Discount SEK/L</t>
  </si>
  <si>
    <t xml:space="preserve">TANUMSHEDE</t>
  </si>
  <si>
    <t xml:space="preserve">FALKENBERG</t>
  </si>
  <si>
    <t xml:space="preserve">TRELLEBORG</t>
  </si>
  <si>
    <t xml:space="preserve">HELSINGBORG</t>
  </si>
  <si>
    <t xml:space="preserve">BASTAD</t>
  </si>
  <si>
    <t xml:space="preserve">MARKARYD</t>
  </si>
  <si>
    <t xml:space="preserve">ARLOV</t>
  </si>
  <si>
    <t xml:space="preserve">LANDSKRONA</t>
  </si>
  <si>
    <t xml:space="preserve">GOTEBORG</t>
  </si>
  <si>
    <t xml:space="preserve">HALMSTAD</t>
  </si>
  <si>
    <t xml:space="preserve">LILLA EDET</t>
  </si>
  <si>
    <t xml:space="preserve">ANGELHOLM</t>
  </si>
  <si>
    <t xml:space="preserve">ORKELLJUNGA</t>
  </si>
  <si>
    <t xml:space="preserve">KVANUM</t>
  </si>
  <si>
    <t xml:space="preserve">MALMO</t>
  </si>
  <si>
    <t xml:space="preserve">ODESHOG</t>
  </si>
  <si>
    <t xml:space="preserve">GRANNA</t>
  </si>
  <si>
    <t xml:space="preserve">VAXJO</t>
  </si>
  <si>
    <t xml:space="preserve">HISINGS BACKA</t>
  </si>
  <si>
    <t xml:space="preserve">TOTAL DIESEL</t>
  </si>
  <si>
    <t xml:space="preserve">By half-month (diesel)</t>
  </si>
  <si>
    <t xml:space="preserve">Net SEK</t>
  </si>
  <si>
    <t xml:space="preserve">approx EUR/L</t>
  </si>
  <si>
    <t xml:space="preserve">01-15 May</t>
  </si>
  <si>
    <t xml:space="preserve">16-31 May</t>
  </si>
  <si>
    <t xml:space="preserve">Other products</t>
  </si>
  <si>
    <t xml:space="preserve">Qty</t>
  </si>
  <si>
    <t xml:space="preserve">Eff. net SEK/unit</t>
  </si>
  <si>
    <t xml:space="preserve">approx EUR/unit</t>
  </si>
  <si>
    <t xml:space="preserve">AdBlue (bulk), L</t>
  </si>
  <si>
    <t xml:space="preserve">HVO 100 renewable diesel, L</t>
  </si>
  <si>
    <t xml:space="preserve">Parking services, pc</t>
  </si>
  <si>
    <t xml:space="preserve">EUR/L shown at indicative 10.80 SEK/EUR (DKV converts per transaction date; implied invoice rates 10.82 and 10.78). Swedish VAT 25% is charged on top and reclaimable via EE registration. Pump net prices fell 17.60 -&gt; 16.856 -&gt; 17.16 SEK/L over the month; DKV discount averages ~1.3 SEK/L net.</t>
  </si>
  <si>
    <t xml:space="preserve">Invoice</t>
  </si>
  <si>
    <t xml:space="preserve">Vehicle</t>
  </si>
  <si>
    <t xml:space="preserve">Date</t>
  </si>
  <si>
    <t xml:space="preserve">Time</t>
  </si>
  <si>
    <t xml:space="preserve">Brand</t>
  </si>
  <si>
    <t xml:space="preserve">City</t>
  </si>
  <si>
    <t xml:space="preserve">Product</t>
  </si>
  <si>
    <t xml:space="preserve">Qty (L/pc)</t>
  </si>
  <si>
    <t xml:space="preserve">Gross SEK/unit</t>
  </si>
  <si>
    <t xml:space="preserve">Net SEK/unit</t>
  </si>
  <si>
    <t xml:space="preserve">Base net SEK</t>
  </si>
  <si>
    <t xml:space="preserve">Discount net SEK</t>
  </si>
  <si>
    <t xml:space="preserve">Service fee net SEK</t>
  </si>
  <si>
    <t xml:space="preserve">Total net SEK</t>
  </si>
  <si>
    <t xml:space="preserve">VAT 25% SEK</t>
  </si>
  <si>
    <t xml:space="preserve">Total gross SEK</t>
  </si>
  <si>
    <t xml:space="preserve">Payable EUR</t>
  </si>
  <si>
    <t xml:space="preserve">Eff. net SEK/L after disc</t>
  </si>
  <si>
    <t xml:space="preserve">Chk1: base=qty x net</t>
  </si>
  <si>
    <t xml:space="preserve">Chk2: net=base+disc+fee</t>
  </si>
  <si>
    <t xml:space="preserve">Chk3: VAT=25%</t>
  </si>
  <si>
    <t xml:space="preserve">Chk4: gross=net+VAT</t>
  </si>
  <si>
    <t xml:space="preserve">26/651689595</t>
  </si>
  <si>
    <t xml:space="preserve">009</t>
  </si>
  <si>
    <t xml:space="preserve">2026-05-04</t>
  </si>
  <si>
    <t xml:space="preserve">19:46</t>
  </si>
  <si>
    <t xml:space="preserve">CIRCLE K</t>
  </si>
  <si>
    <t xml:space="preserve">GOETEBORG</t>
  </si>
  <si>
    <t xml:space="preserve">parking</t>
  </si>
  <si>
    <t xml:space="preserve">2026-05-05</t>
  </si>
  <si>
    <t xml:space="preserve">08:53</t>
  </si>
  <si>
    <t xml:space="preserve">PREEM</t>
  </si>
  <si>
    <t xml:space="preserve">DIESEL</t>
  </si>
  <si>
    <t xml:space="preserve">08:59</t>
  </si>
  <si>
    <t xml:space="preserve">018</t>
  </si>
  <si>
    <t xml:space="preserve">21:43</t>
  </si>
  <si>
    <t xml:space="preserve">022</t>
  </si>
  <si>
    <t xml:space="preserve">2026-05-08</t>
  </si>
  <si>
    <t xml:space="preserve">10:53</t>
  </si>
  <si>
    <t xml:space="preserve">11:00</t>
  </si>
  <si>
    <t xml:space="preserve">11:04</t>
  </si>
  <si>
    <t xml:space="preserve">11:12</t>
  </si>
  <si>
    <t xml:space="preserve">ADBLUE</t>
  </si>
  <si>
    <t xml:space="preserve">025</t>
  </si>
  <si>
    <t xml:space="preserve">2026-05-11</t>
  </si>
  <si>
    <t xml:space="preserve">17:51</t>
  </si>
  <si>
    <t xml:space="preserve">18:02</t>
  </si>
  <si>
    <t xml:space="preserve">2026-05-14</t>
  </si>
  <si>
    <t xml:space="preserve">19:30</t>
  </si>
  <si>
    <t xml:space="preserve">2026-05-15</t>
  </si>
  <si>
    <t xml:space="preserve">16:40</t>
  </si>
  <si>
    <t xml:space="preserve">16:49</t>
  </si>
  <si>
    <t xml:space="preserve">17:01</t>
  </si>
  <si>
    <t xml:space="preserve">028</t>
  </si>
  <si>
    <t xml:space="preserve">2026-05-01</t>
  </si>
  <si>
    <t xml:space="preserve">07:35</t>
  </si>
  <si>
    <t xml:space="preserve">07:44</t>
  </si>
  <si>
    <t xml:space="preserve">07:48</t>
  </si>
  <si>
    <t xml:space="preserve">032</t>
  </si>
  <si>
    <t xml:space="preserve">2026-05-07</t>
  </si>
  <si>
    <t xml:space="preserve">22:35</t>
  </si>
  <si>
    <t xml:space="preserve">2026-05-09</t>
  </si>
  <si>
    <t xml:space="preserve">09:07</t>
  </si>
  <si>
    <t xml:space="preserve">06:44</t>
  </si>
  <si>
    <t xml:space="preserve">2026-05-12</t>
  </si>
  <si>
    <t xml:space="preserve">14:33</t>
  </si>
  <si>
    <t xml:space="preserve">14:42</t>
  </si>
  <si>
    <t xml:space="preserve">037</t>
  </si>
  <si>
    <t xml:space="preserve">15:25</t>
  </si>
  <si>
    <t xml:space="preserve">23:11</t>
  </si>
  <si>
    <t xml:space="preserve">23:21</t>
  </si>
  <si>
    <t xml:space="preserve">15:35</t>
  </si>
  <si>
    <t xml:space="preserve">15:42</t>
  </si>
  <si>
    <t xml:space="preserve">039</t>
  </si>
  <si>
    <t xml:space="preserve">19:43</t>
  </si>
  <si>
    <t xml:space="preserve">OKQ8</t>
  </si>
  <si>
    <t xml:space="preserve">TVAAKER</t>
  </si>
  <si>
    <t xml:space="preserve">2026-05-06</t>
  </si>
  <si>
    <t xml:space="preserve">19:25</t>
  </si>
  <si>
    <t xml:space="preserve">VASE</t>
  </si>
  <si>
    <t xml:space="preserve">046</t>
  </si>
  <si>
    <t xml:space="preserve">07:49</t>
  </si>
  <si>
    <t xml:space="preserve">08:02</t>
  </si>
  <si>
    <t xml:space="preserve">11:31</t>
  </si>
  <si>
    <t xml:space="preserve">11:41</t>
  </si>
  <si>
    <t xml:space="preserve">054</t>
  </si>
  <si>
    <t xml:space="preserve">20:36</t>
  </si>
  <si>
    <t xml:space="preserve">12:34</t>
  </si>
  <si>
    <t xml:space="preserve">12:41</t>
  </si>
  <si>
    <t xml:space="preserve">12:48</t>
  </si>
  <si>
    <t xml:space="preserve">055</t>
  </si>
  <si>
    <t xml:space="preserve">06:10</t>
  </si>
  <si>
    <t xml:space="preserve">14:50</t>
  </si>
  <si>
    <t xml:space="preserve">14:56</t>
  </si>
  <si>
    <t xml:space="preserve">15:03</t>
  </si>
  <si>
    <t xml:space="preserve">2026-05-13</t>
  </si>
  <si>
    <t xml:space="preserve">09:47</t>
  </si>
  <si>
    <t xml:space="preserve">09:57</t>
  </si>
  <si>
    <t xml:space="preserve">056</t>
  </si>
  <si>
    <t xml:space="preserve">06:06</t>
  </si>
  <si>
    <t xml:space="preserve">06:15</t>
  </si>
  <si>
    <t xml:space="preserve">06:23</t>
  </si>
  <si>
    <t xml:space="preserve">01:50</t>
  </si>
  <si>
    <t xml:space="preserve">01:59</t>
  </si>
  <si>
    <t xml:space="preserve">02:06</t>
  </si>
  <si>
    <t xml:space="preserve">26/652169828</t>
  </si>
  <si>
    <t xml:space="preserve">2026-05-20</t>
  </si>
  <si>
    <t xml:space="preserve">08:04</t>
  </si>
  <si>
    <t xml:space="preserve">08:12</t>
  </si>
  <si>
    <t xml:space="preserve">08:17</t>
  </si>
  <si>
    <t xml:space="preserve">017</t>
  </si>
  <si>
    <t xml:space="preserve">2026-05-18</t>
  </si>
  <si>
    <t xml:space="preserve">18:48</t>
  </si>
  <si>
    <t xml:space="preserve">18:59</t>
  </si>
  <si>
    <t xml:space="preserve">19:03</t>
  </si>
  <si>
    <t xml:space="preserve">2026-05-21</t>
  </si>
  <si>
    <t xml:space="preserve">13:54</t>
  </si>
  <si>
    <t xml:space="preserve">14:00</t>
  </si>
  <si>
    <t xml:space="preserve">14:04</t>
  </si>
  <si>
    <t xml:space="preserve">2026-05-29</t>
  </si>
  <si>
    <t xml:space="preserve">11:09</t>
  </si>
  <si>
    <t xml:space="preserve">11:27</t>
  </si>
  <si>
    <t xml:space="preserve">11:33</t>
  </si>
  <si>
    <t xml:space="preserve">HVO 100</t>
  </si>
  <si>
    <t xml:space="preserve">030</t>
  </si>
  <si>
    <t xml:space="preserve">15:13</t>
  </si>
  <si>
    <t xml:space="preserve">17:19</t>
  </si>
  <si>
    <t xml:space="preserve">17:25</t>
  </si>
  <si>
    <t xml:space="preserve">17:35</t>
  </si>
  <si>
    <t xml:space="preserve">2026-05-26</t>
  </si>
  <si>
    <t xml:space="preserve">17:14</t>
  </si>
  <si>
    <t xml:space="preserve">2026-05-27</t>
  </si>
  <si>
    <t xml:space="preserve">16:55</t>
  </si>
  <si>
    <t xml:space="preserve">20:24</t>
  </si>
  <si>
    <t xml:space="preserve">2026-05-28</t>
  </si>
  <si>
    <t xml:space="preserve">21:19</t>
  </si>
  <si>
    <t xml:space="preserve">17:11</t>
  </si>
  <si>
    <t xml:space="preserve">2026-05-30</t>
  </si>
  <si>
    <t xml:space="preserve">04:42</t>
  </si>
  <si>
    <t xml:space="preserve">04:48</t>
  </si>
  <si>
    <t xml:space="preserve">042</t>
  </si>
  <si>
    <t xml:space="preserve">17:50</t>
  </si>
  <si>
    <t xml:space="preserve">043</t>
  </si>
  <si>
    <t xml:space="preserve">2026-05-19</t>
  </si>
  <si>
    <t xml:space="preserve">16:59</t>
  </si>
  <si>
    <t xml:space="preserve">07:55</t>
  </si>
  <si>
    <t xml:space="preserve">08:06</t>
  </si>
  <si>
    <t xml:space="preserve">08:13</t>
  </si>
  <si>
    <t xml:space="preserve">04:19</t>
  </si>
  <si>
    <t xml:space="preserve">04:30</t>
  </si>
  <si>
    <t xml:space="preserve">04:38</t>
  </si>
  <si>
    <t xml:space="preserve">09:32</t>
  </si>
  <si>
    <t xml:space="preserve">17:05</t>
  </si>
  <si>
    <t xml:space="preserve">17:18</t>
  </si>
  <si>
    <t xml:space="preserve">Chk3 tolerance ±0.07: on two lines (055 13-05 Halmstad, 017 29-05 Landskrona) DKV's printed VAT is 4-6 cents below a strict 25% of the printed net, though net+VAT=gross holds and all card/invoice VAT totals reconcile exactly - vendor-side rounding in their VAT engine.</t>
  </si>
  <si>
    <t xml:space="preserve">Stated: qty</t>
  </si>
  <si>
    <t xml:space="preserve">base</t>
  </si>
  <si>
    <t xml:space="preserve">disc</t>
  </si>
  <si>
    <t xml:space="preserve">fee</t>
  </si>
  <si>
    <t xml:space="preserve">net</t>
  </si>
  <si>
    <t xml:space="preserve">VAT</t>
  </si>
  <si>
    <t xml:space="preserve">gross</t>
  </si>
  <si>
    <t xml:space="preserve">EUR</t>
  </si>
  <si>
    <t xml:space="preserve">Calc net</t>
  </si>
  <si>
    <t xml:space="preserve">Calc gross</t>
  </si>
  <si>
    <t xml:space="preserve">Calc EUR</t>
  </si>
  <si>
    <t xml:space="preserve">Check</t>
  </si>
  <si>
    <t xml:space="preserve">Check item</t>
  </si>
  <si>
    <t xml:space="preserve">Invoice states</t>
  </si>
  <si>
    <t xml:space="preserve">Calculated</t>
  </si>
  <si>
    <t xml:space="preserve">Diff</t>
  </si>
  <si>
    <t xml:space="preserve">26/651689595 DIESEL litres</t>
  </si>
  <si>
    <t xml:space="preserve">26/651689595 DIESEL net SEK</t>
  </si>
  <si>
    <t xml:space="preserve">26/651689595 ADBLUE litres</t>
  </si>
  <si>
    <t xml:space="preserve">26/651689595 ADBLUE net SEK</t>
  </si>
  <si>
    <t xml:space="preserve">26/651689595 parking net SEK</t>
  </si>
  <si>
    <t xml:space="preserve">26/651689595 TOTAL net SEK</t>
  </si>
  <si>
    <t xml:space="preserve">26/651689595 TOTAL VAT SEK</t>
  </si>
  <si>
    <t xml:space="preserve">26/651689595 TOTAL gross SEK</t>
  </si>
  <si>
    <t xml:space="preserve">26/651689595 TOTAL payable EUR</t>
  </si>
  <si>
    <t xml:space="preserve">26/652169828 DIESEL litres</t>
  </si>
  <si>
    <t xml:space="preserve">26/652169828 DIESEL net SEK</t>
  </si>
  <si>
    <t xml:space="preserve">26/652169828 ADBLUE litres</t>
  </si>
  <si>
    <t xml:space="preserve">26/652169828 ADBLUE net SEK</t>
  </si>
  <si>
    <t xml:space="preserve">26/652169828 HVO 100 litres</t>
  </si>
  <si>
    <t xml:space="preserve">26/652169828 HVO 100 net SEK</t>
  </si>
  <si>
    <t xml:space="preserve">26/652169828 parking net SEK</t>
  </si>
  <si>
    <t xml:space="preserve">26/652169828 TOTAL net SEK</t>
  </si>
  <si>
    <t xml:space="preserve">26/652169828 TOTAL VAT SEK</t>
  </si>
  <si>
    <t xml:space="preserve">26/652169828 TOTAL gross SEK</t>
  </si>
  <si>
    <t xml:space="preserve">26/652169828 TOTAL payable EUR</t>
  </si>
  <si>
    <t xml:space="preserve">BOTH invoices gross SEK</t>
  </si>
  <si>
    <t xml:space="preserve">BOTH invoices payable EUR</t>
  </si>
  <si>
    <t xml:space="preserve">BOTH Swedish VAT SEK (reclaimable)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</si>
</sst>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00"/>
    <numFmt numFmtId="167" formatCode="#,##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8102E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810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1"/>
    <col collapsed="false" customWidth="true" hidden="false" outlineLevel="0" max="3" min="3" style="1" width="15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13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6" t="n">
        <f aca="false">SUMPRODUCT((Transactions!$F$2:$F$86=A5)*(Transactions!$G$2:$G$86="DIESEL")*Transactions!$H$2:$H$86)</f>
        <v>2131.12</v>
      </c>
      <c r="C5" s="6" t="n">
        <f aca="false">ROUND(SUMPRODUCT((Transactions!$F$2:$F$86=A5)*(Transactions!$G$2:$G$86="DIESEL")*Transactions!$N$2:$N$86),2)</f>
        <v>33242.91</v>
      </c>
      <c r="D5" s="7" t="n">
        <f aca="false">C5/B5</f>
        <v>15.5987978152333</v>
      </c>
      <c r="E5" s="7" t="n">
        <f aca="false">D5/10.8</f>
        <v>1.44433313104012</v>
      </c>
      <c r="F5" s="7" t="n">
        <f aca="false">-ROUND(SUMPRODUCT((Transactions!$F$2:$F$86=A5)*(Transactions!$G$2:$G$86="DIESEL")*Transactions!$L$2:$L$86),2)/B5</f>
        <v>1.299997184579</v>
      </c>
    </row>
    <row r="6" customFormat="false" ht="15" hidden="false" customHeight="true" outlineLevel="0" collapsed="false">
      <c r="A6" s="5" t="s">
        <v>9</v>
      </c>
      <c r="B6" s="6" t="n">
        <f aca="false">SUMPRODUCT((Transactions!$F$2:$F$86=A6)*(Transactions!$G$2:$G$86="DIESEL")*Transactions!$H$2:$H$86)</f>
        <v>1475.77</v>
      </c>
      <c r="C6" s="6" t="n">
        <f aca="false">ROUND(SUMPRODUCT((Transactions!$F$2:$F$86=A6)*(Transactions!$G$2:$G$86="DIESEL")*Transactions!$N$2:$N$86),2)</f>
        <v>23250.42</v>
      </c>
      <c r="D6" s="7" t="n">
        <f aca="false">C6/B6</f>
        <v>15.754772085081</v>
      </c>
      <c r="E6" s="7" t="n">
        <f aca="false">D6/10.8</f>
        <v>1.45877519306306</v>
      </c>
      <c r="F6" s="7" t="n">
        <f aca="false">-ROUND(SUMPRODUCT((Transactions!$F$2:$F$86=A6)*(Transactions!$G$2:$G$86="DIESEL")*Transactions!$L$2:$L$86),2)/B6</f>
        <v>1.30000609851129</v>
      </c>
    </row>
    <row r="7" customFormat="false" ht="15" hidden="false" customHeight="true" outlineLevel="0" collapsed="false">
      <c r="A7" s="5" t="s">
        <v>10</v>
      </c>
      <c r="B7" s="6" t="n">
        <f aca="false">SUMPRODUCT((Transactions!$F$2:$F$86=A7)*(Transactions!$G$2:$G$86="DIESEL")*Transactions!$H$2:$H$86)</f>
        <v>1530.35</v>
      </c>
      <c r="C7" s="6" t="n">
        <f aca="false">ROUND(SUMPRODUCT((Transactions!$F$2:$F$86=A7)*(Transactions!$G$2:$G$86="DIESEL")*Transactions!$N$2:$N$86),2)</f>
        <v>24506.81</v>
      </c>
      <c r="D7" s="7" t="n">
        <f aca="false">C7/B7</f>
        <v>16.0138595746071</v>
      </c>
      <c r="E7" s="7" t="n">
        <f aca="false">D7/10.8</f>
        <v>1.48276477542658</v>
      </c>
      <c r="F7" s="7" t="n">
        <f aca="false">-ROUND(SUMPRODUCT((Transactions!$F$2:$F$86=A7)*(Transactions!$G$2:$G$86="DIESEL")*Transactions!$L$2:$L$86),2)/B7</f>
        <v>1.30000326722645</v>
      </c>
    </row>
    <row r="8" customFormat="false" ht="15" hidden="false" customHeight="true" outlineLevel="0" collapsed="false">
      <c r="A8" s="5" t="s">
        <v>11</v>
      </c>
      <c r="B8" s="6" t="n">
        <f aca="false">SUMPRODUCT((Transactions!$F$2:$F$86=A8)*(Transactions!$G$2:$G$86="DIESEL")*Transactions!$H$2:$H$86)</f>
        <v>930.45</v>
      </c>
      <c r="C8" s="6" t="n">
        <f aca="false">ROUND(SUMPRODUCT((Transactions!$F$2:$F$86=A8)*(Transactions!$G$2:$G$86="DIESEL")*Transactions!$N$2:$N$86),2)</f>
        <v>14771.83</v>
      </c>
      <c r="D8" s="7" t="n">
        <f aca="false">C8/B8</f>
        <v>15.8760062335429</v>
      </c>
      <c r="E8" s="7" t="n">
        <f aca="false">D8/10.8</f>
        <v>1.4700005771799</v>
      </c>
      <c r="F8" s="7" t="n">
        <f aca="false">-ROUND(SUMPRODUCT((Transactions!$F$2:$F$86=A8)*(Transactions!$G$2:$G$86="DIESEL")*Transactions!$L$2:$L$86),2)/B8</f>
        <v>1.29999462625611</v>
      </c>
    </row>
    <row r="9" customFormat="false" ht="15" hidden="false" customHeight="true" outlineLevel="0" collapsed="false">
      <c r="A9" s="5" t="s">
        <v>12</v>
      </c>
      <c r="B9" s="6" t="n">
        <f aca="false">SUMPRODUCT((Transactions!$F$2:$F$86=A9)*(Transactions!$G$2:$G$86="DIESEL")*Transactions!$H$2:$H$86)</f>
        <v>1514.2</v>
      </c>
      <c r="C9" s="6" t="n">
        <f aca="false">ROUND(SUMPRODUCT((Transactions!$F$2:$F$86=A9)*(Transactions!$G$2:$G$86="DIESEL")*Transactions!$N$2:$N$86),2)</f>
        <v>24368.72</v>
      </c>
      <c r="D9" s="7" t="n">
        <f aca="false">C9/B9</f>
        <v>16.0934618940695</v>
      </c>
      <c r="E9" s="7" t="n">
        <f aca="false">D9/10.8</f>
        <v>1.49013536056199</v>
      </c>
      <c r="F9" s="7" t="n">
        <f aca="false">-ROUND(SUMPRODUCT((Transactions!$F$2:$F$86=A9)*(Transactions!$G$2:$G$86="DIESEL")*Transactions!$L$2:$L$86),2)/B9</f>
        <v>1.3000066041474</v>
      </c>
    </row>
    <row r="10" customFormat="false" ht="15" hidden="false" customHeight="true" outlineLevel="0" collapsed="false">
      <c r="A10" s="5" t="s">
        <v>13</v>
      </c>
      <c r="B10" s="6" t="n">
        <f aca="false">SUMPRODUCT((Transactions!$F$2:$F$86=A10)*(Transactions!$G$2:$G$86="DIESEL")*Transactions!$H$2:$H$86)</f>
        <v>1452.84</v>
      </c>
      <c r="C10" s="6" t="n">
        <f aca="false">ROUND(SUMPRODUCT((Transactions!$F$2:$F$86=A10)*(Transactions!$G$2:$G$86="DIESEL")*Transactions!$N$2:$N$86),2)</f>
        <v>23169.21</v>
      </c>
      <c r="D10" s="7" t="n">
        <f aca="false">C10/B10</f>
        <v>15.9475303543405</v>
      </c>
      <c r="E10" s="7" t="n">
        <f aca="false">D10/10.8</f>
        <v>1.47662318095745</v>
      </c>
      <c r="F10" s="7" t="n">
        <f aca="false">-ROUND(SUMPRODUCT((Transactions!$F$2:$F$86=A10)*(Transactions!$G$2:$G$86="DIESEL")*Transactions!$L$2:$L$86),2)/B10</f>
        <v>1.29999862338592</v>
      </c>
    </row>
    <row r="11" customFormat="false" ht="15" hidden="false" customHeight="true" outlineLevel="0" collapsed="false">
      <c r="A11" s="5" t="s">
        <v>14</v>
      </c>
      <c r="B11" s="6" t="n">
        <f aca="false">SUMPRODUCT((Transactions!$F$2:$F$86=A11)*(Transactions!$G$2:$G$86="DIESEL")*Transactions!$H$2:$H$86)</f>
        <v>1131.68</v>
      </c>
      <c r="C11" s="6" t="n">
        <f aca="false">ROUND(SUMPRODUCT((Transactions!$F$2:$F$86=A11)*(Transactions!$G$2:$G$86="DIESEL")*Transactions!$N$2:$N$86),2)</f>
        <v>17966.54</v>
      </c>
      <c r="D11" s="7" t="n">
        <f aca="false">C11/B11</f>
        <v>15.8759896790612</v>
      </c>
      <c r="E11" s="7" t="n">
        <f aca="false">D11/10.8</f>
        <v>1.46999904435752</v>
      </c>
      <c r="F11" s="7" t="n">
        <f aca="false">-ROUND(SUMPRODUCT((Transactions!$F$2:$F$86=A11)*(Transactions!$G$2:$G$86="DIESEL")*Transactions!$L$2:$L$86),2)/B11</f>
        <v>1.30000530185211</v>
      </c>
    </row>
    <row r="12" customFormat="false" ht="15" hidden="false" customHeight="true" outlineLevel="0" collapsed="false">
      <c r="A12" s="5" t="s">
        <v>15</v>
      </c>
      <c r="B12" s="6" t="n">
        <f aca="false">SUMPRODUCT((Transactions!$F$2:$F$86=A12)*(Transactions!$G$2:$G$86="DIESEL")*Transactions!$H$2:$H$86)</f>
        <v>1121</v>
      </c>
      <c r="C12" s="6" t="n">
        <f aca="false">ROUND(SUMPRODUCT((Transactions!$F$2:$F$86=A12)*(Transactions!$G$2:$G$86="DIESEL")*Transactions!$N$2:$N$86),2)</f>
        <v>17666.82</v>
      </c>
      <c r="D12" s="7" t="n">
        <f aca="false">C12/B12</f>
        <v>15.7598751115076</v>
      </c>
      <c r="E12" s="7" t="n">
        <f aca="false">D12/10.8</f>
        <v>1.45924769550996</v>
      </c>
      <c r="F12" s="7" t="n">
        <f aca="false">-ROUND(SUMPRODUCT((Transactions!$F$2:$F$86=A12)*(Transactions!$G$2:$G$86="DIESEL")*Transactions!$L$2:$L$86),2)/B12</f>
        <v>1.3</v>
      </c>
    </row>
    <row r="13" customFormat="false" ht="15" hidden="false" customHeight="true" outlineLevel="0" collapsed="false">
      <c r="A13" s="5" t="s">
        <v>16</v>
      </c>
      <c r="B13" s="6" t="n">
        <f aca="false">SUMPRODUCT((Transactions!$F$2:$F$86=A13)*(Transactions!$G$2:$G$86="DIESEL")*Transactions!$H$2:$H$86)</f>
        <v>1181.01</v>
      </c>
      <c r="C13" s="6" t="n">
        <f aca="false">ROUND(SUMPRODUCT((Transactions!$F$2:$F$86=A13)*(Transactions!$G$2:$G$86="DIESEL")*Transactions!$N$2:$N$86),2)</f>
        <v>18935.18</v>
      </c>
      <c r="D13" s="7" t="n">
        <f aca="false">C13/B13</f>
        <v>16.0330395170236</v>
      </c>
      <c r="E13" s="7" t="n">
        <f aca="false">D13/10.8</f>
        <v>1.4845406960207</v>
      </c>
      <c r="F13" s="7" t="n">
        <f aca="false">-ROUND(SUMPRODUCT((Transactions!$F$2:$F$86=A13)*(Transactions!$G$2:$G$86="DIESEL")*Transactions!$L$2:$L$86),2)/B13</f>
        <v>1.29999745980136</v>
      </c>
    </row>
    <row r="14" customFormat="false" ht="15" hidden="false" customHeight="true" outlineLevel="0" collapsed="false">
      <c r="A14" s="5" t="s">
        <v>17</v>
      </c>
      <c r="B14" s="6" t="n">
        <f aca="false">SUMPRODUCT((Transactions!$F$2:$F$86=A14)*(Transactions!$G$2:$G$86="DIESEL")*Transactions!$H$2:$H$86)</f>
        <v>478.93</v>
      </c>
      <c r="C14" s="6" t="n">
        <f aca="false">ROUND(SUMPRODUCT((Transactions!$F$2:$F$86=A14)*(Transactions!$G$2:$G$86="DIESEL")*Transactions!$N$2:$N$86),2)</f>
        <v>7603.49</v>
      </c>
      <c r="D14" s="7" t="n">
        <f aca="false">C14/B14</f>
        <v>15.8759944041927</v>
      </c>
      <c r="E14" s="7" t="n">
        <f aca="false">D14/10.8</f>
        <v>1.46999948186969</v>
      </c>
      <c r="F14" s="7" t="n">
        <f aca="false">-ROUND(SUMPRODUCT((Transactions!$F$2:$F$86=A14)*(Transactions!$G$2:$G$86="DIESEL")*Transactions!$L$2:$L$86),2)/B14</f>
        <v>1.30000208798781</v>
      </c>
    </row>
    <row r="15" customFormat="false" ht="15" hidden="false" customHeight="true" outlineLevel="0" collapsed="false">
      <c r="A15" s="5" t="s">
        <v>18</v>
      </c>
      <c r="B15" s="6" t="n">
        <f aca="false">SUMPRODUCT((Transactions!$F$2:$F$86=A15)*(Transactions!$G$2:$G$86="DIESEL")*Transactions!$H$2:$H$86)</f>
        <v>836.1</v>
      </c>
      <c r="C15" s="6" t="n">
        <f aca="false">ROUND(SUMPRODUCT((Transactions!$F$2:$F$86=A15)*(Transactions!$G$2:$G$86="DIESEL")*Transactions!$N$2:$N$86),2)</f>
        <v>13628.43</v>
      </c>
      <c r="D15" s="7" t="n">
        <f aca="false">C15/B15</f>
        <v>16.3</v>
      </c>
      <c r="E15" s="7" t="n">
        <f aca="false">D15/10.8</f>
        <v>1.50925925925926</v>
      </c>
      <c r="F15" s="7" t="n">
        <f aca="false">-ROUND(SUMPRODUCT((Transactions!$F$2:$F$86=A15)*(Transactions!$G$2:$G$86="DIESEL")*Transactions!$L$2:$L$86),2)/B15</f>
        <v>1.3</v>
      </c>
    </row>
    <row r="16" customFormat="false" ht="15" hidden="false" customHeight="true" outlineLevel="0" collapsed="false">
      <c r="A16" s="5" t="s">
        <v>19</v>
      </c>
      <c r="B16" s="6" t="n">
        <f aca="false">SUMPRODUCT((Transactions!$F$2:$F$86=A16)*(Transactions!$G$2:$G$86="DIESEL")*Transactions!$H$2:$H$86)</f>
        <v>665.98</v>
      </c>
      <c r="C16" s="6" t="n">
        <f aca="false">ROUND(SUMPRODUCT((Transactions!$F$2:$F$86=A16)*(Transactions!$G$2:$G$86="DIESEL")*Transactions!$N$2:$N$86),2)</f>
        <v>10562.43</v>
      </c>
      <c r="D16" s="7" t="n">
        <f aca="false">C16/B16</f>
        <v>15.8599807802036</v>
      </c>
      <c r="E16" s="7" t="n">
        <f aca="false">D16/10.8</f>
        <v>1.46851673890774</v>
      </c>
      <c r="F16" s="7" t="n">
        <f aca="false">-ROUND(SUMPRODUCT((Transactions!$F$2:$F$86=A16)*(Transactions!$G$2:$G$86="DIESEL")*Transactions!$L$2:$L$86),2)/B16</f>
        <v>1.30000900927956</v>
      </c>
    </row>
    <row r="17" customFormat="false" ht="15" hidden="false" customHeight="true" outlineLevel="0" collapsed="false">
      <c r="A17" s="5" t="s">
        <v>20</v>
      </c>
      <c r="B17" s="6" t="n">
        <f aca="false">SUMPRODUCT((Transactions!$F$2:$F$86=A17)*(Transactions!$G$2:$G$86="DIESEL")*Transactions!$H$2:$H$86)</f>
        <v>446.87</v>
      </c>
      <c r="C17" s="6" t="n">
        <f aca="false">ROUND(SUMPRODUCT((Transactions!$F$2:$F$86=A17)*(Transactions!$G$2:$G$86="DIESEL")*Transactions!$N$2:$N$86),2)</f>
        <v>7087.36</v>
      </c>
      <c r="D17" s="7" t="n">
        <f aca="false">C17/B17</f>
        <v>15.8600040280171</v>
      </c>
      <c r="E17" s="7" t="n">
        <f aca="false">D17/10.8</f>
        <v>1.46851889148306</v>
      </c>
      <c r="F17" s="7" t="n">
        <f aca="false">-ROUND(SUMPRODUCT((Transactions!$F$2:$F$86=A17)*(Transactions!$G$2:$G$86="DIESEL")*Transactions!$L$2:$L$86),2)/B17</f>
        <v>1.29999776221272</v>
      </c>
    </row>
    <row r="18" customFormat="false" ht="15" hidden="false" customHeight="true" outlineLevel="0" collapsed="false">
      <c r="A18" s="5" t="s">
        <v>21</v>
      </c>
      <c r="B18" s="6" t="n">
        <f aca="false">SUMPRODUCT((Transactions!$F$2:$F$86=A18)*(Transactions!$G$2:$G$86="DIESEL")*Transactions!$H$2:$H$86)</f>
        <v>470.53</v>
      </c>
      <c r="C18" s="6" t="n">
        <f aca="false">ROUND(SUMPRODUCT((Transactions!$F$2:$F$86=A18)*(Transactions!$G$2:$G$86="DIESEL")*Transactions!$N$2:$N$86),2)</f>
        <v>7470.13</v>
      </c>
      <c r="D18" s="7" t="n">
        <f aca="false">C18/B18</f>
        <v>15.8759909038744</v>
      </c>
      <c r="E18" s="7" t="n">
        <f aca="false">D18/10.8</f>
        <v>1.46999915776614</v>
      </c>
      <c r="F18" s="7" t="n">
        <f aca="false">-ROUND(SUMPRODUCT((Transactions!$F$2:$F$86=A18)*(Transactions!$G$2:$G$86="DIESEL")*Transactions!$L$2:$L$86),2)/B18</f>
        <v>1.300002125263</v>
      </c>
    </row>
    <row r="19" customFormat="false" ht="15" hidden="false" customHeight="true" outlineLevel="0" collapsed="false">
      <c r="A19" s="5" t="s">
        <v>22</v>
      </c>
      <c r="B19" s="6" t="n">
        <f aca="false">SUMPRODUCT((Transactions!$F$2:$F$86=A19)*(Transactions!$G$2:$G$86="DIESEL")*Transactions!$H$2:$H$86)</f>
        <v>350</v>
      </c>
      <c r="C19" s="6" t="n">
        <f aca="false">ROUND(SUMPRODUCT((Transactions!$F$2:$F$86=A19)*(Transactions!$G$2:$G$86="DIESEL")*Transactions!$N$2:$N$86),2)</f>
        <v>5551</v>
      </c>
      <c r="D19" s="7" t="n">
        <f aca="false">C19/B19</f>
        <v>15.86</v>
      </c>
      <c r="E19" s="7" t="n">
        <f aca="false">D19/10.8</f>
        <v>1.46851851851852</v>
      </c>
      <c r="F19" s="7" t="n">
        <f aca="false">-ROUND(SUMPRODUCT((Transactions!$F$2:$F$86=A19)*(Transactions!$G$2:$G$86="DIESEL")*Transactions!$L$2:$L$86),2)/B19</f>
        <v>1.3</v>
      </c>
    </row>
    <row r="20" customFormat="false" ht="15" hidden="false" customHeight="true" outlineLevel="0" collapsed="false">
      <c r="A20" s="5" t="s">
        <v>23</v>
      </c>
      <c r="B20" s="6" t="n">
        <f aca="false">SUMPRODUCT((Transactions!$F$2:$F$86=A20)*(Transactions!$G$2:$G$86="DIESEL")*Transactions!$H$2:$H$86)</f>
        <v>365</v>
      </c>
      <c r="C20" s="6" t="n">
        <f aca="false">ROUND(SUMPRODUCT((Transactions!$F$2:$F$86=A20)*(Transactions!$G$2:$G$86="DIESEL")*Transactions!$N$2:$N$86),2)</f>
        <v>5949.5</v>
      </c>
      <c r="D20" s="7" t="n">
        <f aca="false">C20/B20</f>
        <v>16.3</v>
      </c>
      <c r="E20" s="7" t="n">
        <f aca="false">D20/10.8</f>
        <v>1.50925925925926</v>
      </c>
      <c r="F20" s="7" t="n">
        <f aca="false">-ROUND(SUMPRODUCT((Transactions!$F$2:$F$86=A20)*(Transactions!$G$2:$G$86="DIESEL")*Transactions!$L$2:$L$86),2)/B20</f>
        <v>1.3</v>
      </c>
    </row>
    <row r="21" customFormat="false" ht="15" hidden="false" customHeight="true" outlineLevel="0" collapsed="false">
      <c r="A21" s="5" t="s">
        <v>24</v>
      </c>
      <c r="B21" s="6" t="n">
        <f aca="false">SUMPRODUCT((Transactions!$F$2:$F$86=A21)*(Transactions!$G$2:$G$86="DIESEL")*Transactions!$H$2:$H$86)</f>
        <v>430</v>
      </c>
      <c r="C21" s="6" t="n">
        <f aca="false">ROUND(SUMPRODUCT((Transactions!$F$2:$F$86=A21)*(Transactions!$G$2:$G$86="DIESEL")*Transactions!$N$2:$N$86),2)</f>
        <v>7009</v>
      </c>
      <c r="D21" s="7" t="n">
        <f aca="false">C21/B21</f>
        <v>16.3</v>
      </c>
      <c r="E21" s="7" t="n">
        <f aca="false">D21/10.8</f>
        <v>1.50925925925926</v>
      </c>
      <c r="F21" s="7" t="n">
        <f aca="false">-ROUND(SUMPRODUCT((Transactions!$F$2:$F$86=A21)*(Transactions!$G$2:$G$86="DIESEL")*Transactions!$L$2:$L$86),2)/B21</f>
        <v>1.3</v>
      </c>
    </row>
    <row r="22" customFormat="false" ht="15" hidden="false" customHeight="true" outlineLevel="0" collapsed="false">
      <c r="A22" s="5" t="s">
        <v>25</v>
      </c>
      <c r="B22" s="6" t="n">
        <f aca="false">SUMPRODUCT((Transactions!$F$2:$F$86=A22)*(Transactions!$G$2:$G$86="DIESEL")*Transactions!$H$2:$H$86)</f>
        <v>420.02</v>
      </c>
      <c r="C22" s="6" t="n">
        <f aca="false">ROUND(SUMPRODUCT((Transactions!$F$2:$F$86=A22)*(Transactions!$G$2:$G$86="DIESEL")*Transactions!$N$2:$N$86),2)</f>
        <v>6846.32</v>
      </c>
      <c r="D22" s="7" t="n">
        <f aca="false">C22/B22</f>
        <v>16.299985714966</v>
      </c>
      <c r="E22" s="7" t="n">
        <f aca="false">D22/10.8</f>
        <v>1.50925793657092</v>
      </c>
      <c r="F22" s="7" t="n">
        <f aca="false">-ROUND(SUMPRODUCT((Transactions!$F$2:$F$86=A22)*(Transactions!$G$2:$G$86="DIESEL")*Transactions!$L$2:$L$86),2)/B22</f>
        <v>1.30000952335603</v>
      </c>
    </row>
    <row r="23" customFormat="false" ht="15" hidden="false" customHeight="true" outlineLevel="0" collapsed="false">
      <c r="A23" s="5" t="s">
        <v>26</v>
      </c>
      <c r="B23" s="6" t="n">
        <f aca="false">SUMPRODUCT((Transactions!$F$2:$F$86=A23)*(Transactions!$G$2:$G$86="DIESEL")*Transactions!$H$2:$H$86)</f>
        <v>400.03</v>
      </c>
      <c r="C23" s="6" t="n">
        <f aca="false">ROUND(SUMPRODUCT((Transactions!$F$2:$F$86=A23)*(Transactions!$G$2:$G$86="DIESEL")*Transactions!$N$2:$N$86),2)</f>
        <v>6520.49</v>
      </c>
      <c r="D23" s="7" t="n">
        <f aca="false">C23/B23</f>
        <v>16.3000024998125</v>
      </c>
      <c r="E23" s="7" t="n">
        <f aca="false">D23/10.8</f>
        <v>1.50925949072338</v>
      </c>
      <c r="F23" s="7" t="n">
        <f aca="false">-ROUND(SUMPRODUCT((Transactions!$F$2:$F$86=A23)*(Transactions!$G$2:$G$86="DIESEL")*Transactions!$L$2:$L$86),2)/B23</f>
        <v>1.30000249981251</v>
      </c>
    </row>
    <row r="24" customFormat="false" ht="15" hidden="false" customHeight="true" outlineLevel="0" collapsed="false">
      <c r="A24" s="8" t="s">
        <v>27</v>
      </c>
      <c r="B24" s="9" t="n">
        <f aca="false">SUM(B5:B23)</f>
        <v>17331.88</v>
      </c>
      <c r="C24" s="9" t="n">
        <f aca="false">SUM(C5:C23)</f>
        <v>276106.59</v>
      </c>
      <c r="D24" s="10" t="n">
        <f aca="false">C24/B24</f>
        <v>15.9305620625114</v>
      </c>
      <c r="E24" s="10" t="n">
        <f aca="false">D24/10.8</f>
        <v>1.47505204282513</v>
      </c>
      <c r="F24" s="10" t="n">
        <f aca="false">-SUMPRODUCT((Transactions!$G$2:$G$86="DIESEL")*Transactions!$L$2:$L$86)/B24</f>
        <v>1.30000150012578</v>
      </c>
    </row>
    <row r="25" customFormat="false" ht="15" hidden="false" customHeight="true" outlineLevel="0" collapsed="false">
      <c r="A25" s="5"/>
      <c r="B25" s="5"/>
      <c r="C25" s="5"/>
      <c r="D25" s="7"/>
      <c r="E25" s="7"/>
      <c r="F25" s="7"/>
    </row>
    <row r="26" customFormat="false" ht="15" hidden="false" customHeight="true" outlineLevel="0" collapsed="false">
      <c r="A26" s="8" t="s">
        <v>28</v>
      </c>
      <c r="B26" s="9" t="s">
        <v>3</v>
      </c>
      <c r="C26" s="9" t="s">
        <v>29</v>
      </c>
      <c r="D26" s="10" t="s">
        <v>5</v>
      </c>
      <c r="E26" s="10" t="s">
        <v>30</v>
      </c>
      <c r="F26" s="7"/>
    </row>
    <row r="27" customFormat="false" ht="15" hidden="false" customHeight="true" outlineLevel="0" collapsed="false">
      <c r="A27" s="5" t="s">
        <v>31</v>
      </c>
      <c r="B27" s="6" t="n">
        <f aca="false">SUMPRODUCT((Transactions!$A$2:$A$86="26/651689595")*(Transactions!$G$2:$G$86="DIESEL")*Transactions!$H$2:$H$86)</f>
        <v>10407.49</v>
      </c>
      <c r="C27" s="6" t="n">
        <f aca="false">ROUND(SUMPRODUCT((Transactions!$A$2:$A$86="26/651689595")*(Transactions!$G$2:$G$86="DIESEL")*Transactions!$N$2:$N$86),2)</f>
        <v>166997.74</v>
      </c>
      <c r="D27" s="7" t="n">
        <f aca="false">C27/B27</f>
        <v>16.0459188526725</v>
      </c>
      <c r="E27" s="7" t="n">
        <f aca="false">D27/10.8</f>
        <v>1.4857332270993</v>
      </c>
      <c r="F27" s="7"/>
    </row>
    <row r="28" customFormat="false" ht="15" hidden="false" customHeight="true" outlineLevel="0" collapsed="false">
      <c r="A28" s="5" t="s">
        <v>32</v>
      </c>
      <c r="B28" s="6" t="n">
        <f aca="false">SUMPRODUCT((Transactions!$A$2:$A$86="26/652169828")*(Transactions!$G$2:$G$86="DIESEL")*Transactions!$H$2:$H$86)</f>
        <v>6924.39</v>
      </c>
      <c r="C28" s="6" t="n">
        <f aca="false">ROUND(SUMPRODUCT((Transactions!$A$2:$A$86="26/652169828")*(Transactions!$G$2:$G$86="DIESEL")*Transactions!$N$2:$N$86),2)</f>
        <v>109108.85</v>
      </c>
      <c r="D28" s="7" t="n">
        <f aca="false">C28/B28</f>
        <v>15.7571786106791</v>
      </c>
      <c r="E28" s="7" t="n">
        <f aca="false">D28/10.8</f>
        <v>1.45899801950732</v>
      </c>
      <c r="F28" s="7"/>
    </row>
    <row r="29" customFormat="false" ht="15" hidden="false" customHeight="true" outlineLevel="0" collapsed="false">
      <c r="A29" s="5"/>
      <c r="B29" s="5"/>
      <c r="C29" s="5"/>
      <c r="D29" s="7"/>
      <c r="E29" s="7"/>
      <c r="F29" s="7"/>
    </row>
    <row r="30" customFormat="false" ht="15" hidden="false" customHeight="true" outlineLevel="0" collapsed="false">
      <c r="A30" s="8" t="s">
        <v>33</v>
      </c>
      <c r="B30" s="9" t="s">
        <v>34</v>
      </c>
      <c r="C30" s="9" t="s">
        <v>29</v>
      </c>
      <c r="D30" s="10" t="s">
        <v>35</v>
      </c>
      <c r="E30" s="10" t="s">
        <v>36</v>
      </c>
      <c r="F30" s="7"/>
    </row>
    <row r="31" customFormat="false" ht="15" hidden="false" customHeight="true" outlineLevel="0" collapsed="false">
      <c r="A31" s="5" t="s">
        <v>37</v>
      </c>
      <c r="B31" s="6" t="n">
        <f aca="false">SUMPRODUCT((Transactions!$G$2:$G$86="ADBLUE")*Transactions!$H$2:$H$86)</f>
        <v>754.31</v>
      </c>
      <c r="C31" s="6" t="n">
        <f aca="false">ROUND(SUMPRODUCT((Transactions!$G$2:$G$86="ADBLUE")*Transactions!$N$2:$N$86),2)</f>
        <v>5139.68</v>
      </c>
      <c r="D31" s="7" t="n">
        <f aca="false">C31/B31</f>
        <v>6.81375031485729</v>
      </c>
      <c r="E31" s="7" t="n">
        <f aca="false">D31/10.8</f>
        <v>0.63090280693123</v>
      </c>
      <c r="F31" s="7"/>
    </row>
    <row r="32" customFormat="false" ht="15" hidden="false" customHeight="true" outlineLevel="0" collapsed="false">
      <c r="A32" s="5" t="s">
        <v>38</v>
      </c>
      <c r="B32" s="6" t="n">
        <f aca="false">SUMPRODUCT((Transactions!$G$2:$G$86="HVO 100")*Transactions!$H$2:$H$86)</f>
        <v>251</v>
      </c>
      <c r="C32" s="6" t="n">
        <f aca="false">ROUND(SUMPRODUCT((Transactions!$G$2:$G$86="HVO 100")*Transactions!$N$2:$N$86),2)</f>
        <v>5732.34</v>
      </c>
      <c r="D32" s="7" t="n">
        <f aca="false">C32/B32</f>
        <v>22.8380079681275</v>
      </c>
      <c r="E32" s="7" t="n">
        <f aca="false">D32/10.8</f>
        <v>2.11463036741921</v>
      </c>
      <c r="F32" s="7"/>
    </row>
    <row r="33" customFormat="false" ht="15" hidden="false" customHeight="true" outlineLevel="0" collapsed="false">
      <c r="A33" s="5" t="s">
        <v>39</v>
      </c>
      <c r="B33" s="6" t="n">
        <f aca="false">SUMPRODUCT((Transactions!$G$2:$G$86="parking")*Transactions!$H$2:$H$86)</f>
        <v>11</v>
      </c>
      <c r="C33" s="6" t="n">
        <f aca="false">ROUND(SUMPRODUCT((Transactions!$G$2:$G$86="parking")*Transactions!$N$2:$N$86),2)</f>
        <v>2957.53</v>
      </c>
      <c r="D33" s="7" t="n">
        <f aca="false">C33/B33</f>
        <v>268.866363636364</v>
      </c>
      <c r="E33" s="7" t="n">
        <f aca="false">D33/10.8</f>
        <v>24.8950336700337</v>
      </c>
      <c r="F33" s="7"/>
    </row>
    <row r="35" customFormat="false" ht="15" hidden="false" customHeight="true" outlineLevel="0" collapsed="false">
      <c r="A35" s="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10"/>
    <col collapsed="false" customWidth="true" hidden="false" outlineLevel="0" max="4" min="4" style="1" width="6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10" min="7" style="1" width="9"/>
    <col collapsed="false" customWidth="true" hidden="false" outlineLevel="0" max="12" min="11" style="1" width="10"/>
    <col collapsed="false" customWidth="true" hidden="false" outlineLevel="0" max="13" min="13" style="1" width="9"/>
    <col collapsed="false" customWidth="true" hidden="false" outlineLevel="0" max="14" min="14" style="1" width="10"/>
    <col collapsed="false" customWidth="true" hidden="false" outlineLevel="0" max="15" min="15" style="1" width="9"/>
    <col collapsed="false" customWidth="true" hidden="false" outlineLevel="0" max="16" min="16" style="1" width="10"/>
    <col collapsed="false" customWidth="true" hidden="false" outlineLevel="0" max="17" min="17" style="1" width="9"/>
    <col collapsed="false" customWidth="true" hidden="false" outlineLevel="0" max="19" min="18" style="1" width="10"/>
    <col collapsed="false" customWidth="true" hidden="false" outlineLevel="0" max="20" min="20" style="1" width="11"/>
    <col collapsed="false" customWidth="true" hidden="false" outlineLevel="0" max="21" min="21" style="1" width="9"/>
    <col collapsed="false" customWidth="true" hidden="false" outlineLevel="0" max="22" min="22" style="1" width="10"/>
  </cols>
  <sheetData>
    <row r="1" customFormat="false" ht="42.75" hidden="false" customHeight="true" outlineLevel="0" collapsed="false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  <c r="M1" s="4" t="s">
        <v>53</v>
      </c>
      <c r="N1" s="4" t="s">
        <v>54</v>
      </c>
      <c r="O1" s="4" t="s">
        <v>55</v>
      </c>
      <c r="P1" s="4" t="s">
        <v>56</v>
      </c>
      <c r="Q1" s="4" t="s">
        <v>57</v>
      </c>
      <c r="R1" s="4" t="s">
        <v>58</v>
      </c>
      <c r="S1" s="4" t="s">
        <v>59</v>
      </c>
      <c r="T1" s="4" t="s">
        <v>60</v>
      </c>
      <c r="U1" s="4" t="s">
        <v>61</v>
      </c>
      <c r="V1" s="4" t="s">
        <v>62</v>
      </c>
    </row>
    <row r="2" customFormat="false" ht="15" hidden="false" customHeight="true" outlineLevel="0" collapsed="false">
      <c r="A2" s="5" t="s">
        <v>63</v>
      </c>
      <c r="B2" s="5" t="s">
        <v>64</v>
      </c>
      <c r="C2" s="5" t="s">
        <v>65</v>
      </c>
      <c r="D2" s="5" t="s">
        <v>66</v>
      </c>
      <c r="E2" s="5" t="s">
        <v>67</v>
      </c>
      <c r="F2" s="5" t="s">
        <v>68</v>
      </c>
      <c r="G2" s="5" t="s">
        <v>69</v>
      </c>
      <c r="H2" s="11" t="n">
        <v>1</v>
      </c>
      <c r="I2" s="7" t="n">
        <v>295</v>
      </c>
      <c r="J2" s="7" t="n">
        <v>236</v>
      </c>
      <c r="K2" s="6" t="n">
        <v>236</v>
      </c>
      <c r="L2" s="6" t="n">
        <v>0</v>
      </c>
      <c r="M2" s="6" t="n">
        <v>13.28</v>
      </c>
      <c r="N2" s="6" t="n">
        <v>249.28</v>
      </c>
      <c r="O2" s="6" t="n">
        <v>62.32</v>
      </c>
      <c r="P2" s="6" t="n">
        <v>311.6</v>
      </c>
      <c r="Q2" s="6" t="n">
        <v>28.85</v>
      </c>
      <c r="R2" s="7" t="str">
        <f aca="false">IF(G2="parking","",(K2+L2)/H2)</f>
        <v/>
      </c>
      <c r="S2" s="5" t="str">
        <f aca="false">IF(ABS(ROUND(H2*J2,2)-K2)&lt;=0.02,"OK","CHECK")</f>
        <v>OK</v>
      </c>
      <c r="T2" s="5" t="str">
        <f aca="false">IF(ABS(ROUND(K2+L2+IF(M2="",0,M2),2)-N2)&lt;=0.011,"OK","CHECK")</f>
        <v>OK</v>
      </c>
      <c r="U2" s="5" t="str">
        <f aca="false">IF(ABS(ROUND(N2*0.25,2)-O2)&lt;=0.07,"OK","CHECK")</f>
        <v>OK</v>
      </c>
      <c r="V2" s="5" t="str">
        <f aca="false">IF(ABS(N2+O2-P2)&lt;=0.011,"OK","CHECK")</f>
        <v>OK</v>
      </c>
    </row>
    <row r="3" customFormat="false" ht="15" hidden="false" customHeight="true" outlineLevel="0" collapsed="false">
      <c r="A3" s="5" t="s">
        <v>63</v>
      </c>
      <c r="B3" s="5" t="s">
        <v>64</v>
      </c>
      <c r="C3" s="5" t="s">
        <v>70</v>
      </c>
      <c r="D3" s="5" t="s">
        <v>71</v>
      </c>
      <c r="E3" s="5" t="s">
        <v>72</v>
      </c>
      <c r="F3" s="5" t="s">
        <v>26</v>
      </c>
      <c r="G3" s="5" t="s">
        <v>73</v>
      </c>
      <c r="H3" s="11" t="n">
        <v>250</v>
      </c>
      <c r="I3" s="7" t="n">
        <v>22</v>
      </c>
      <c r="J3" s="7" t="n">
        <v>17.6</v>
      </c>
      <c r="K3" s="6" t="n">
        <v>4400</v>
      </c>
      <c r="L3" s="6" t="n">
        <v>-325</v>
      </c>
      <c r="M3" s="6"/>
      <c r="N3" s="6" t="n">
        <v>4075</v>
      </c>
      <c r="O3" s="6" t="n">
        <v>1018.75</v>
      </c>
      <c r="P3" s="6" t="n">
        <v>5093.75</v>
      </c>
      <c r="Q3" s="6" t="n">
        <v>471.37</v>
      </c>
      <c r="R3" s="7" t="n">
        <f aca="false">IF(G3="parking","",(K3+L3)/H3)</f>
        <v>16.3</v>
      </c>
      <c r="S3" s="5" t="str">
        <f aca="false">IF(ABS(ROUND(H3*J3,2)-K3)&lt;=0.02,"OK","CHECK")</f>
        <v>OK</v>
      </c>
      <c r="T3" s="5" t="str">
        <f aca="false">IF(ABS(ROUND(K3+L3+IF(M3="",0,M3),2)-N3)&lt;=0.011,"OK","CHECK")</f>
        <v>OK</v>
      </c>
      <c r="U3" s="5" t="str">
        <f aca="false">IF(ABS(ROUND(N3*0.25,2)-O3)&lt;=0.07,"OK","CHECK")</f>
        <v>OK</v>
      </c>
      <c r="V3" s="5" t="str">
        <f aca="false">IF(ABS(N3+O3-P3)&lt;=0.011,"OK","CHECK")</f>
        <v>OK</v>
      </c>
    </row>
    <row r="4" customFormat="false" ht="15" hidden="false" customHeight="true" outlineLevel="0" collapsed="false">
      <c r="A4" s="5" t="s">
        <v>63</v>
      </c>
      <c r="B4" s="5" t="s">
        <v>64</v>
      </c>
      <c r="C4" s="5" t="s">
        <v>70</v>
      </c>
      <c r="D4" s="5" t="s">
        <v>74</v>
      </c>
      <c r="E4" s="5" t="s">
        <v>72</v>
      </c>
      <c r="F4" s="5" t="s">
        <v>26</v>
      </c>
      <c r="G4" s="5" t="s">
        <v>73</v>
      </c>
      <c r="H4" s="11" t="n">
        <v>150.03</v>
      </c>
      <c r="I4" s="7" t="n">
        <v>22</v>
      </c>
      <c r="J4" s="7" t="n">
        <v>17.6</v>
      </c>
      <c r="K4" s="6" t="n">
        <v>2640.53</v>
      </c>
      <c r="L4" s="6" t="n">
        <v>-195.04</v>
      </c>
      <c r="M4" s="6"/>
      <c r="N4" s="6" t="n">
        <v>2445.49</v>
      </c>
      <c r="O4" s="6" t="n">
        <v>611.37</v>
      </c>
      <c r="P4" s="6" t="n">
        <v>3056.86</v>
      </c>
      <c r="Q4" s="6" t="n">
        <v>282.88</v>
      </c>
      <c r="R4" s="7" t="n">
        <f aca="false">IF(G4="parking","",(K4+L4)/H4)</f>
        <v>16.3000066653336</v>
      </c>
      <c r="S4" s="5" t="str">
        <f aca="false">IF(ABS(ROUND(H4*J4,2)-K4)&lt;=0.02,"OK","CHECK")</f>
        <v>OK</v>
      </c>
      <c r="T4" s="5" t="str">
        <f aca="false">IF(ABS(ROUND(K4+L4+IF(M4="",0,M4),2)-N4)&lt;=0.011,"OK","CHECK")</f>
        <v>OK</v>
      </c>
      <c r="U4" s="5" t="str">
        <f aca="false">IF(ABS(ROUND(N4*0.25,2)-O4)&lt;=0.07,"OK","CHECK")</f>
        <v>OK</v>
      </c>
      <c r="V4" s="5" t="str">
        <f aca="false">IF(ABS(N4+O4-P4)&lt;=0.011,"OK","CHECK")</f>
        <v>OK</v>
      </c>
    </row>
    <row r="5" customFormat="false" ht="15" hidden="false" customHeight="true" outlineLevel="0" collapsed="false">
      <c r="A5" s="5" t="s">
        <v>63</v>
      </c>
      <c r="B5" s="5" t="s">
        <v>75</v>
      </c>
      <c r="C5" s="5" t="s">
        <v>70</v>
      </c>
      <c r="D5" s="5" t="s">
        <v>76</v>
      </c>
      <c r="E5" s="5" t="s">
        <v>67</v>
      </c>
      <c r="F5" s="5" t="s">
        <v>68</v>
      </c>
      <c r="G5" s="5" t="s">
        <v>69</v>
      </c>
      <c r="H5" s="11" t="n">
        <v>1</v>
      </c>
      <c r="I5" s="7" t="n">
        <v>295</v>
      </c>
      <c r="J5" s="7" t="n">
        <v>236</v>
      </c>
      <c r="K5" s="6" t="n">
        <v>236</v>
      </c>
      <c r="L5" s="6" t="n">
        <v>0</v>
      </c>
      <c r="M5" s="6" t="n">
        <v>13.28</v>
      </c>
      <c r="N5" s="6" t="n">
        <v>249.28</v>
      </c>
      <c r="O5" s="6" t="n">
        <v>62.32</v>
      </c>
      <c r="P5" s="6" t="n">
        <v>311.6</v>
      </c>
      <c r="Q5" s="6" t="n">
        <v>28.83</v>
      </c>
      <c r="R5" s="7" t="str">
        <f aca="false">IF(G5="parking","",(K5+L5)/H5)</f>
        <v/>
      </c>
      <c r="S5" s="5" t="str">
        <f aca="false">IF(ABS(ROUND(H5*J5,2)-K5)&lt;=0.02,"OK","CHECK")</f>
        <v>OK</v>
      </c>
      <c r="T5" s="5" t="str">
        <f aca="false">IF(ABS(ROUND(K5+L5+IF(M5="",0,M5),2)-N5)&lt;=0.011,"OK","CHECK")</f>
        <v>OK</v>
      </c>
      <c r="U5" s="5" t="str">
        <f aca="false">IF(ABS(ROUND(N5*0.25,2)-O5)&lt;=0.07,"OK","CHECK")</f>
        <v>OK</v>
      </c>
      <c r="V5" s="5" t="str">
        <f aca="false">IF(ABS(N5+O5-P5)&lt;=0.011,"OK","CHECK")</f>
        <v>OK</v>
      </c>
    </row>
    <row r="6" customFormat="false" ht="15" hidden="false" customHeight="true" outlineLevel="0" collapsed="false">
      <c r="A6" s="5" t="s">
        <v>63</v>
      </c>
      <c r="B6" s="5" t="s">
        <v>77</v>
      </c>
      <c r="C6" s="5" t="s">
        <v>78</v>
      </c>
      <c r="D6" s="5" t="s">
        <v>79</v>
      </c>
      <c r="E6" s="5" t="s">
        <v>72</v>
      </c>
      <c r="F6" s="5" t="s">
        <v>18</v>
      </c>
      <c r="G6" s="5" t="s">
        <v>73</v>
      </c>
      <c r="H6" s="11" t="n">
        <v>409.09</v>
      </c>
      <c r="I6" s="7" t="n">
        <v>22</v>
      </c>
      <c r="J6" s="7" t="n">
        <v>17.6</v>
      </c>
      <c r="K6" s="6" t="n">
        <v>7199.98</v>
      </c>
      <c r="L6" s="6" t="n">
        <v>-531.82</v>
      </c>
      <c r="M6" s="6"/>
      <c r="N6" s="6" t="n">
        <v>6668.16</v>
      </c>
      <c r="O6" s="6" t="n">
        <v>1667.04</v>
      </c>
      <c r="P6" s="6" t="n">
        <v>8335.2</v>
      </c>
      <c r="Q6" s="6" t="n">
        <v>772.65</v>
      </c>
      <c r="R6" s="7" t="n">
        <f aca="false">IF(G6="parking","",(K6+L6)/H6)</f>
        <v>16.2999828888509</v>
      </c>
      <c r="S6" s="5" t="str">
        <f aca="false">IF(ABS(ROUND(H6*J6,2)-K6)&lt;=0.02,"OK","CHECK")</f>
        <v>OK</v>
      </c>
      <c r="T6" s="5" t="str">
        <f aca="false">IF(ABS(ROUND(K6+L6+IF(M6="",0,M6),2)-N6)&lt;=0.011,"OK","CHECK")</f>
        <v>OK</v>
      </c>
      <c r="U6" s="5" t="str">
        <f aca="false">IF(ABS(ROUND(N6*0.25,2)-O6)&lt;=0.07,"OK","CHECK")</f>
        <v>OK</v>
      </c>
      <c r="V6" s="5" t="str">
        <f aca="false">IF(ABS(N6+O6-P6)&lt;=0.011,"OK","CHECK")</f>
        <v>OK</v>
      </c>
    </row>
    <row r="7" customFormat="false" ht="15" hidden="false" customHeight="true" outlineLevel="0" collapsed="false">
      <c r="A7" s="5" t="s">
        <v>63</v>
      </c>
      <c r="B7" s="5" t="s">
        <v>77</v>
      </c>
      <c r="C7" s="5" t="s">
        <v>78</v>
      </c>
      <c r="D7" s="5" t="s">
        <v>80</v>
      </c>
      <c r="E7" s="5" t="s">
        <v>72</v>
      </c>
      <c r="F7" s="5" t="s">
        <v>18</v>
      </c>
      <c r="G7" s="5" t="s">
        <v>73</v>
      </c>
      <c r="H7" s="11" t="n">
        <v>121.01</v>
      </c>
      <c r="I7" s="7" t="n">
        <v>22</v>
      </c>
      <c r="J7" s="7" t="n">
        <v>17.6</v>
      </c>
      <c r="K7" s="6" t="n">
        <v>2129.78</v>
      </c>
      <c r="L7" s="6" t="n">
        <v>-157.31</v>
      </c>
      <c r="M7" s="6"/>
      <c r="N7" s="6" t="n">
        <v>1972.47</v>
      </c>
      <c r="O7" s="6" t="n">
        <v>493.12</v>
      </c>
      <c r="P7" s="6" t="n">
        <v>2465.59</v>
      </c>
      <c r="Q7" s="6" t="n">
        <v>228.55</v>
      </c>
      <c r="R7" s="7" t="n">
        <f aca="false">IF(G7="parking","",(K7+L7)/H7)</f>
        <v>16.300057846459</v>
      </c>
      <c r="S7" s="5" t="str">
        <f aca="false">IF(ABS(ROUND(H7*J7,2)-K7)&lt;=0.02,"OK","CHECK")</f>
        <v>OK</v>
      </c>
      <c r="T7" s="5" t="str">
        <f aca="false">IF(ABS(ROUND(K7+L7+IF(M7="",0,M7),2)-N7)&lt;=0.011,"OK","CHECK")</f>
        <v>OK</v>
      </c>
      <c r="U7" s="5" t="str">
        <f aca="false">IF(ABS(ROUND(N7*0.25,2)-O7)&lt;=0.07,"OK","CHECK")</f>
        <v>OK</v>
      </c>
      <c r="V7" s="5" t="str">
        <f aca="false">IF(ABS(N7+O7-P7)&lt;=0.011,"OK","CHECK")</f>
        <v>OK</v>
      </c>
    </row>
    <row r="8" customFormat="false" ht="15" hidden="false" customHeight="true" outlineLevel="0" collapsed="false">
      <c r="A8" s="5" t="s">
        <v>63</v>
      </c>
      <c r="B8" s="5" t="s">
        <v>77</v>
      </c>
      <c r="C8" s="5" t="s">
        <v>78</v>
      </c>
      <c r="D8" s="5" t="s">
        <v>81</v>
      </c>
      <c r="E8" s="5" t="s">
        <v>72</v>
      </c>
      <c r="F8" s="5" t="s">
        <v>18</v>
      </c>
      <c r="G8" s="5" t="s">
        <v>73</v>
      </c>
      <c r="H8" s="11" t="n">
        <v>306</v>
      </c>
      <c r="I8" s="7" t="n">
        <v>22</v>
      </c>
      <c r="J8" s="7" t="n">
        <v>17.6</v>
      </c>
      <c r="K8" s="6" t="n">
        <v>5385.6</v>
      </c>
      <c r="L8" s="6" t="n">
        <v>-397.8</v>
      </c>
      <c r="M8" s="6"/>
      <c r="N8" s="6" t="n">
        <v>4987.8</v>
      </c>
      <c r="O8" s="6" t="n">
        <v>1246.95</v>
      </c>
      <c r="P8" s="6" t="n">
        <v>6234.75</v>
      </c>
      <c r="Q8" s="6" t="n">
        <v>577.94</v>
      </c>
      <c r="R8" s="7" t="n">
        <f aca="false">IF(G8="parking","",(K8+L8)/H8)</f>
        <v>16.3</v>
      </c>
      <c r="S8" s="5" t="str">
        <f aca="false">IF(ABS(ROUND(H8*J8,2)-K8)&lt;=0.02,"OK","CHECK")</f>
        <v>OK</v>
      </c>
      <c r="T8" s="5" t="str">
        <f aca="false">IF(ABS(ROUND(K8+L8+IF(M8="",0,M8),2)-N8)&lt;=0.011,"OK","CHECK")</f>
        <v>OK</v>
      </c>
      <c r="U8" s="5" t="str">
        <f aca="false">IF(ABS(ROUND(N8*0.25,2)-O8)&lt;=0.07,"OK","CHECK")</f>
        <v>OK</v>
      </c>
      <c r="V8" s="5" t="str">
        <f aca="false">IF(ABS(N8+O8-P8)&lt;=0.011,"OK","CHECK")</f>
        <v>OK</v>
      </c>
    </row>
    <row r="9" customFormat="false" ht="15" hidden="false" customHeight="true" outlineLevel="0" collapsed="false">
      <c r="A9" s="5" t="s">
        <v>63</v>
      </c>
      <c r="B9" s="5" t="s">
        <v>77</v>
      </c>
      <c r="C9" s="5" t="s">
        <v>78</v>
      </c>
      <c r="D9" s="5" t="s">
        <v>82</v>
      </c>
      <c r="E9" s="5" t="s">
        <v>72</v>
      </c>
      <c r="F9" s="5" t="s">
        <v>18</v>
      </c>
      <c r="G9" s="5" t="s">
        <v>83</v>
      </c>
      <c r="H9" s="11" t="n">
        <v>17.32</v>
      </c>
      <c r="I9" s="7" t="n">
        <v>10.3897</v>
      </c>
      <c r="J9" s="7" t="n">
        <v>8.3118</v>
      </c>
      <c r="K9" s="6" t="n">
        <v>143.96</v>
      </c>
      <c r="L9" s="6" t="n">
        <v>-21.13</v>
      </c>
      <c r="M9" s="6"/>
      <c r="N9" s="6" t="n">
        <v>122.83</v>
      </c>
      <c r="O9" s="6" t="n">
        <v>30.71</v>
      </c>
      <c r="P9" s="6" t="n">
        <v>153.54</v>
      </c>
      <c r="Q9" s="6" t="n">
        <v>14.24</v>
      </c>
      <c r="R9" s="7" t="n">
        <f aca="false">IF(G9="parking","",(K9+L9)/H9)</f>
        <v>7.09180138568129</v>
      </c>
      <c r="S9" s="5" t="str">
        <f aca="false">IF(ABS(ROUND(H9*J9,2)-K9)&lt;=0.02,"OK","CHECK")</f>
        <v>OK</v>
      </c>
      <c r="T9" s="5" t="str">
        <f aca="false">IF(ABS(ROUND(K9+L9+IF(M9="",0,M9),2)-N9)&lt;=0.011,"OK","CHECK")</f>
        <v>OK</v>
      </c>
      <c r="U9" s="5" t="str">
        <f aca="false">IF(ABS(ROUND(N9*0.25,2)-O9)&lt;=0.07,"OK","CHECK")</f>
        <v>OK</v>
      </c>
      <c r="V9" s="5" t="str">
        <f aca="false">IF(ABS(N9+O9-P9)&lt;=0.011,"OK","CHECK")</f>
        <v>OK</v>
      </c>
    </row>
    <row r="10" customFormat="false" ht="15" hidden="false" customHeight="true" outlineLevel="0" collapsed="false">
      <c r="A10" s="5" t="s">
        <v>63</v>
      </c>
      <c r="B10" s="5" t="s">
        <v>84</v>
      </c>
      <c r="C10" s="5" t="s">
        <v>85</v>
      </c>
      <c r="D10" s="5" t="s">
        <v>86</v>
      </c>
      <c r="E10" s="5" t="s">
        <v>72</v>
      </c>
      <c r="F10" s="5" t="s">
        <v>21</v>
      </c>
      <c r="G10" s="5" t="s">
        <v>73</v>
      </c>
      <c r="H10" s="11" t="n">
        <v>470.53</v>
      </c>
      <c r="I10" s="7" t="n">
        <v>21.47</v>
      </c>
      <c r="J10" s="7" t="n">
        <v>17.176</v>
      </c>
      <c r="K10" s="6" t="n">
        <v>8081.82</v>
      </c>
      <c r="L10" s="6" t="n">
        <v>-611.69</v>
      </c>
      <c r="M10" s="6"/>
      <c r="N10" s="6" t="n">
        <v>7470.13</v>
      </c>
      <c r="O10" s="6" t="n">
        <v>1867.53</v>
      </c>
      <c r="P10" s="6" t="n">
        <v>9337.66</v>
      </c>
      <c r="Q10" s="6" t="n">
        <v>862.03</v>
      </c>
      <c r="R10" s="7" t="n">
        <f aca="false">IF(G10="parking","",(K10+L10)/H10)</f>
        <v>15.8759909038744</v>
      </c>
      <c r="S10" s="5" t="str">
        <f aca="false">IF(ABS(ROUND(H10*J10,2)-K10)&lt;=0.02,"OK","CHECK")</f>
        <v>OK</v>
      </c>
      <c r="T10" s="5" t="str">
        <f aca="false">IF(ABS(ROUND(K10+L10+IF(M10="",0,M10),2)-N10)&lt;=0.011,"OK","CHECK")</f>
        <v>OK</v>
      </c>
      <c r="U10" s="5" t="str">
        <f aca="false">IF(ABS(ROUND(N10*0.25,2)-O10)&lt;=0.07,"OK","CHECK")</f>
        <v>OK</v>
      </c>
      <c r="V10" s="5" t="str">
        <f aca="false">IF(ABS(N10+O10-P10)&lt;=0.011,"OK","CHECK")</f>
        <v>OK</v>
      </c>
    </row>
    <row r="11" customFormat="false" ht="15" hidden="false" customHeight="true" outlineLevel="0" collapsed="false">
      <c r="A11" s="5" t="s">
        <v>63</v>
      </c>
      <c r="B11" s="5" t="s">
        <v>84</v>
      </c>
      <c r="C11" s="5" t="s">
        <v>85</v>
      </c>
      <c r="D11" s="5" t="s">
        <v>87</v>
      </c>
      <c r="E11" s="5" t="s">
        <v>72</v>
      </c>
      <c r="F11" s="5" t="s">
        <v>21</v>
      </c>
      <c r="G11" s="5" t="s">
        <v>83</v>
      </c>
      <c r="H11" s="11" t="n">
        <v>55.06</v>
      </c>
      <c r="I11" s="7" t="n">
        <v>9.8899</v>
      </c>
      <c r="J11" s="7" t="n">
        <v>7.9119</v>
      </c>
      <c r="K11" s="6" t="n">
        <v>435.63</v>
      </c>
      <c r="L11" s="6" t="n">
        <v>-67.17</v>
      </c>
      <c r="M11" s="6"/>
      <c r="N11" s="6" t="n">
        <v>368.46</v>
      </c>
      <c r="O11" s="6" t="n">
        <v>92.12</v>
      </c>
      <c r="P11" s="6" t="n">
        <v>460.58</v>
      </c>
      <c r="Q11" s="6" t="n">
        <v>42.52</v>
      </c>
      <c r="R11" s="7" t="n">
        <f aca="false">IF(G11="parking","",(K11+L11)/H11)</f>
        <v>6.69197239375227</v>
      </c>
      <c r="S11" s="5" t="str">
        <f aca="false">IF(ABS(ROUND(H11*J11,2)-K11)&lt;=0.02,"OK","CHECK")</f>
        <v>OK</v>
      </c>
      <c r="T11" s="5" t="str">
        <f aca="false">IF(ABS(ROUND(K11+L11+IF(M11="",0,M11),2)-N11)&lt;=0.011,"OK","CHECK")</f>
        <v>OK</v>
      </c>
      <c r="U11" s="5" t="str">
        <f aca="false">IF(ABS(ROUND(N11*0.25,2)-O11)&lt;=0.07,"OK","CHECK")</f>
        <v>OK</v>
      </c>
      <c r="V11" s="5" t="str">
        <f aca="false">IF(ABS(N11+O11-P11)&lt;=0.011,"OK","CHECK")</f>
        <v>OK</v>
      </c>
    </row>
    <row r="12" customFormat="false" ht="15" hidden="false" customHeight="true" outlineLevel="0" collapsed="false">
      <c r="A12" s="5" t="s">
        <v>63</v>
      </c>
      <c r="B12" s="5" t="s">
        <v>84</v>
      </c>
      <c r="C12" s="5" t="s">
        <v>88</v>
      </c>
      <c r="D12" s="5" t="s">
        <v>89</v>
      </c>
      <c r="E12" s="5" t="s">
        <v>67</v>
      </c>
      <c r="F12" s="5" t="s">
        <v>68</v>
      </c>
      <c r="G12" s="5" t="s">
        <v>69</v>
      </c>
      <c r="H12" s="11" t="n">
        <v>1</v>
      </c>
      <c r="I12" s="7" t="n">
        <v>295</v>
      </c>
      <c r="J12" s="7" t="n">
        <v>236</v>
      </c>
      <c r="K12" s="6" t="n">
        <v>236</v>
      </c>
      <c r="L12" s="6" t="n">
        <v>0</v>
      </c>
      <c r="M12" s="6" t="n">
        <v>13.28</v>
      </c>
      <c r="N12" s="6" t="n">
        <v>249.28</v>
      </c>
      <c r="O12" s="6" t="n">
        <v>62.32</v>
      </c>
      <c r="P12" s="6" t="n">
        <v>311.6</v>
      </c>
      <c r="Q12" s="6" t="n">
        <v>28.66</v>
      </c>
      <c r="R12" s="7" t="str">
        <f aca="false">IF(G12="parking","",(K12+L12)/H12)</f>
        <v/>
      </c>
      <c r="S12" s="5" t="str">
        <f aca="false">IF(ABS(ROUND(H12*J12,2)-K12)&lt;=0.02,"OK","CHECK")</f>
        <v>OK</v>
      </c>
      <c r="T12" s="5" t="str">
        <f aca="false">IF(ABS(ROUND(K12+L12+IF(M12="",0,M12),2)-N12)&lt;=0.011,"OK","CHECK")</f>
        <v>OK</v>
      </c>
      <c r="U12" s="5" t="str">
        <f aca="false">IF(ABS(ROUND(N12*0.25,2)-O12)&lt;=0.07,"OK","CHECK")</f>
        <v>OK</v>
      </c>
      <c r="V12" s="5" t="str">
        <f aca="false">IF(ABS(N12+O12-P12)&lt;=0.011,"OK","CHECK")</f>
        <v>OK</v>
      </c>
    </row>
    <row r="13" customFormat="false" ht="15" hidden="false" customHeight="true" outlineLevel="0" collapsed="false">
      <c r="A13" s="5" t="s">
        <v>63</v>
      </c>
      <c r="B13" s="5" t="s">
        <v>84</v>
      </c>
      <c r="C13" s="5" t="s">
        <v>90</v>
      </c>
      <c r="D13" s="5" t="s">
        <v>91</v>
      </c>
      <c r="E13" s="5" t="s">
        <v>72</v>
      </c>
      <c r="F13" s="5" t="s">
        <v>14</v>
      </c>
      <c r="G13" s="5" t="s">
        <v>73</v>
      </c>
      <c r="H13" s="11" t="n">
        <v>419.19</v>
      </c>
      <c r="I13" s="7" t="n">
        <v>21.47</v>
      </c>
      <c r="J13" s="7" t="n">
        <v>17.176</v>
      </c>
      <c r="K13" s="6" t="n">
        <v>7200.01</v>
      </c>
      <c r="L13" s="6" t="n">
        <v>-544.95</v>
      </c>
      <c r="M13" s="6"/>
      <c r="N13" s="6" t="n">
        <v>6655.06</v>
      </c>
      <c r="O13" s="6" t="n">
        <v>1663.77</v>
      </c>
      <c r="P13" s="6" t="n">
        <v>8318.83</v>
      </c>
      <c r="Q13" s="6" t="n">
        <v>762.13</v>
      </c>
      <c r="R13" s="7" t="n">
        <f aca="false">IF(G13="parking","",(K13+L13)/H13)</f>
        <v>15.8759989503566</v>
      </c>
      <c r="S13" s="5" t="str">
        <f aca="false">IF(ABS(ROUND(H13*J13,2)-K13)&lt;=0.02,"OK","CHECK")</f>
        <v>OK</v>
      </c>
      <c r="T13" s="5" t="str">
        <f aca="false">IF(ABS(ROUND(K13+L13+IF(M13="",0,M13),2)-N13)&lt;=0.011,"OK","CHECK")</f>
        <v>OK</v>
      </c>
      <c r="U13" s="5" t="str">
        <f aca="false">IF(ABS(ROUND(N13*0.25,2)-O13)&lt;=0.07,"OK","CHECK")</f>
        <v>OK</v>
      </c>
      <c r="V13" s="5" t="str">
        <f aca="false">IF(ABS(N13+O13-P13)&lt;=0.011,"OK","CHECK")</f>
        <v>OK</v>
      </c>
    </row>
    <row r="14" customFormat="false" ht="15" hidden="false" customHeight="true" outlineLevel="0" collapsed="false">
      <c r="A14" s="5" t="s">
        <v>63</v>
      </c>
      <c r="B14" s="5" t="s">
        <v>84</v>
      </c>
      <c r="C14" s="5" t="s">
        <v>90</v>
      </c>
      <c r="D14" s="5" t="s">
        <v>92</v>
      </c>
      <c r="E14" s="5" t="s">
        <v>72</v>
      </c>
      <c r="F14" s="5" t="s">
        <v>14</v>
      </c>
      <c r="G14" s="5" t="s">
        <v>73</v>
      </c>
      <c r="H14" s="11" t="n">
        <v>280.03</v>
      </c>
      <c r="I14" s="7" t="n">
        <v>21.47</v>
      </c>
      <c r="J14" s="7" t="n">
        <v>17.176</v>
      </c>
      <c r="K14" s="6" t="n">
        <v>4809.79</v>
      </c>
      <c r="L14" s="6" t="n">
        <v>-364.04</v>
      </c>
      <c r="M14" s="6"/>
      <c r="N14" s="6" t="n">
        <v>4445.75</v>
      </c>
      <c r="O14" s="6" t="n">
        <v>1111.44</v>
      </c>
      <c r="P14" s="6" t="n">
        <v>5557.19</v>
      </c>
      <c r="Q14" s="6" t="n">
        <v>509.12</v>
      </c>
      <c r="R14" s="7" t="n">
        <f aca="false">IF(G14="parking","",(K14+L14)/H14)</f>
        <v>15.8759775738314</v>
      </c>
      <c r="S14" s="5" t="str">
        <f aca="false">IF(ABS(ROUND(H14*J14,2)-K14)&lt;=0.02,"OK","CHECK")</f>
        <v>OK</v>
      </c>
      <c r="T14" s="5" t="str">
        <f aca="false">IF(ABS(ROUND(K14+L14+IF(M14="",0,M14),2)-N14)&lt;=0.011,"OK","CHECK")</f>
        <v>OK</v>
      </c>
      <c r="U14" s="5" t="str">
        <f aca="false">IF(ABS(ROUND(N14*0.25,2)-O14)&lt;=0.07,"OK","CHECK")</f>
        <v>OK</v>
      </c>
      <c r="V14" s="5" t="str">
        <f aca="false">IF(ABS(N14+O14-P14)&lt;=0.011,"OK","CHECK")</f>
        <v>OK</v>
      </c>
    </row>
    <row r="15" customFormat="false" ht="15" hidden="false" customHeight="true" outlineLevel="0" collapsed="false">
      <c r="A15" s="5" t="s">
        <v>63</v>
      </c>
      <c r="B15" s="5" t="s">
        <v>84</v>
      </c>
      <c r="C15" s="5" t="s">
        <v>90</v>
      </c>
      <c r="D15" s="5" t="s">
        <v>93</v>
      </c>
      <c r="E15" s="5" t="s">
        <v>72</v>
      </c>
      <c r="F15" s="5" t="s">
        <v>14</v>
      </c>
      <c r="G15" s="5" t="s">
        <v>83</v>
      </c>
      <c r="H15" s="11" t="n">
        <v>11</v>
      </c>
      <c r="I15" s="7" t="n">
        <v>9.89</v>
      </c>
      <c r="J15" s="7" t="n">
        <v>7.9118</v>
      </c>
      <c r="K15" s="6" t="n">
        <v>87.03</v>
      </c>
      <c r="L15" s="6" t="n">
        <v>-13.42</v>
      </c>
      <c r="M15" s="6"/>
      <c r="N15" s="6" t="n">
        <v>73.61</v>
      </c>
      <c r="O15" s="6" t="n">
        <v>18.4</v>
      </c>
      <c r="P15" s="6" t="n">
        <v>92.01</v>
      </c>
      <c r="Q15" s="6" t="n">
        <v>8.43</v>
      </c>
      <c r="R15" s="7" t="n">
        <f aca="false">IF(G15="parking","",(K15+L15)/H15)</f>
        <v>6.69181818181818</v>
      </c>
      <c r="S15" s="5" t="str">
        <f aca="false">IF(ABS(ROUND(H15*J15,2)-K15)&lt;=0.02,"OK","CHECK")</f>
        <v>OK</v>
      </c>
      <c r="T15" s="5" t="str">
        <f aca="false">IF(ABS(ROUND(K15+L15+IF(M15="",0,M15),2)-N15)&lt;=0.011,"OK","CHECK")</f>
        <v>OK</v>
      </c>
      <c r="U15" s="5" t="str">
        <f aca="false">IF(ABS(ROUND(N15*0.25,2)-O15)&lt;=0.07,"OK","CHECK")</f>
        <v>OK</v>
      </c>
      <c r="V15" s="5" t="str">
        <f aca="false">IF(ABS(N15+O15-P15)&lt;=0.011,"OK","CHECK")</f>
        <v>OK</v>
      </c>
    </row>
    <row r="16" customFormat="false" ht="15" hidden="false" customHeight="true" outlineLevel="0" collapsed="false">
      <c r="A16" s="5" t="s">
        <v>63</v>
      </c>
      <c r="B16" s="5" t="s">
        <v>94</v>
      </c>
      <c r="C16" s="5" t="s">
        <v>95</v>
      </c>
      <c r="D16" s="5" t="s">
        <v>96</v>
      </c>
      <c r="E16" s="5" t="s">
        <v>72</v>
      </c>
      <c r="F16" s="5" t="s">
        <v>15</v>
      </c>
      <c r="G16" s="5" t="s">
        <v>73</v>
      </c>
      <c r="H16" s="11" t="n">
        <v>270</v>
      </c>
      <c r="I16" s="7" t="n">
        <v>21.22</v>
      </c>
      <c r="J16" s="7" t="n">
        <v>16.976</v>
      </c>
      <c r="K16" s="6" t="n">
        <v>4583.52</v>
      </c>
      <c r="L16" s="6" t="n">
        <v>-351</v>
      </c>
      <c r="M16" s="6"/>
      <c r="N16" s="6" t="n">
        <v>4232.52</v>
      </c>
      <c r="O16" s="6" t="n">
        <v>1058.13</v>
      </c>
      <c r="P16" s="6" t="n">
        <v>5290.65</v>
      </c>
      <c r="Q16" s="6" t="n">
        <v>490.54</v>
      </c>
      <c r="R16" s="7" t="n">
        <f aca="false">IF(G16="parking","",(K16+L16)/H16)</f>
        <v>15.676</v>
      </c>
      <c r="S16" s="5" t="str">
        <f aca="false">IF(ABS(ROUND(H16*J16,2)-K16)&lt;=0.02,"OK","CHECK")</f>
        <v>OK</v>
      </c>
      <c r="T16" s="5" t="str">
        <f aca="false">IF(ABS(ROUND(K16+L16+IF(M16="",0,M16),2)-N16)&lt;=0.011,"OK","CHECK")</f>
        <v>OK</v>
      </c>
      <c r="U16" s="5" t="str">
        <f aca="false">IF(ABS(ROUND(N16*0.25,2)-O16)&lt;=0.07,"OK","CHECK")</f>
        <v>OK</v>
      </c>
      <c r="V16" s="5" t="str">
        <f aca="false">IF(ABS(N16+O16-P16)&lt;=0.011,"OK","CHECK")</f>
        <v>OK</v>
      </c>
    </row>
    <row r="17" customFormat="false" ht="15" hidden="false" customHeight="true" outlineLevel="0" collapsed="false">
      <c r="A17" s="5" t="s">
        <v>63</v>
      </c>
      <c r="B17" s="5" t="s">
        <v>94</v>
      </c>
      <c r="C17" s="5" t="s">
        <v>95</v>
      </c>
      <c r="D17" s="5" t="s">
        <v>97</v>
      </c>
      <c r="E17" s="5" t="s">
        <v>72</v>
      </c>
      <c r="F17" s="5" t="s">
        <v>15</v>
      </c>
      <c r="G17" s="5" t="s">
        <v>83</v>
      </c>
      <c r="H17" s="11" t="n">
        <v>32</v>
      </c>
      <c r="I17" s="7" t="n">
        <v>10.39</v>
      </c>
      <c r="J17" s="7" t="n">
        <v>8.3119</v>
      </c>
      <c r="K17" s="6" t="n">
        <v>265.98</v>
      </c>
      <c r="L17" s="6" t="n">
        <v>-39.04</v>
      </c>
      <c r="M17" s="6"/>
      <c r="N17" s="6" t="n">
        <v>226.94</v>
      </c>
      <c r="O17" s="6" t="n">
        <v>56.74</v>
      </c>
      <c r="P17" s="6" t="n">
        <v>283.68</v>
      </c>
      <c r="Q17" s="6" t="n">
        <v>26.3</v>
      </c>
      <c r="R17" s="7" t="n">
        <f aca="false">IF(G17="parking","",(K17+L17)/H17)</f>
        <v>7.091875</v>
      </c>
      <c r="S17" s="5" t="str">
        <f aca="false">IF(ABS(ROUND(H17*J17,2)-K17)&lt;=0.02,"OK","CHECK")</f>
        <v>OK</v>
      </c>
      <c r="T17" s="5" t="str">
        <f aca="false">IF(ABS(ROUND(K17+L17+IF(M17="",0,M17),2)-N17)&lt;=0.011,"OK","CHECK")</f>
        <v>OK</v>
      </c>
      <c r="U17" s="5" t="str">
        <f aca="false">IF(ABS(ROUND(N17*0.25,2)-O17)&lt;=0.07,"OK","CHECK")</f>
        <v>OK</v>
      </c>
      <c r="V17" s="5" t="str">
        <f aca="false">IF(ABS(N17+O17-P17)&lt;=0.011,"OK","CHECK")</f>
        <v>OK</v>
      </c>
    </row>
    <row r="18" customFormat="false" ht="15" hidden="false" customHeight="true" outlineLevel="0" collapsed="false">
      <c r="A18" s="5" t="s">
        <v>63</v>
      </c>
      <c r="B18" s="5" t="s">
        <v>94</v>
      </c>
      <c r="C18" s="5" t="s">
        <v>95</v>
      </c>
      <c r="D18" s="5" t="s">
        <v>98</v>
      </c>
      <c r="E18" s="5" t="s">
        <v>72</v>
      </c>
      <c r="F18" s="5" t="s">
        <v>15</v>
      </c>
      <c r="G18" s="5" t="s">
        <v>73</v>
      </c>
      <c r="H18" s="11" t="n">
        <v>340</v>
      </c>
      <c r="I18" s="7" t="n">
        <v>21.22</v>
      </c>
      <c r="J18" s="7" t="n">
        <v>16.976</v>
      </c>
      <c r="K18" s="6" t="n">
        <v>5771.84</v>
      </c>
      <c r="L18" s="6" t="n">
        <v>-442</v>
      </c>
      <c r="M18" s="6"/>
      <c r="N18" s="6" t="n">
        <v>5329.84</v>
      </c>
      <c r="O18" s="6" t="n">
        <v>1332.46</v>
      </c>
      <c r="P18" s="6" t="n">
        <v>6662.3</v>
      </c>
      <c r="Q18" s="6" t="n">
        <v>617.72</v>
      </c>
      <c r="R18" s="7" t="n">
        <f aca="false">IF(G18="parking","",(K18+L18)/H18)</f>
        <v>15.676</v>
      </c>
      <c r="S18" s="5" t="str">
        <f aca="false">IF(ABS(ROUND(H18*J18,2)-K18)&lt;=0.02,"OK","CHECK")</f>
        <v>OK</v>
      </c>
      <c r="T18" s="5" t="str">
        <f aca="false">IF(ABS(ROUND(K18+L18+IF(M18="",0,M18),2)-N18)&lt;=0.011,"OK","CHECK")</f>
        <v>OK</v>
      </c>
      <c r="U18" s="5" t="str">
        <f aca="false">IF(ABS(ROUND(N18*0.25,2)-O18)&lt;=0.07,"OK","CHECK")</f>
        <v>OK</v>
      </c>
      <c r="V18" s="5" t="str">
        <f aca="false">IF(ABS(N18+O18-P18)&lt;=0.011,"OK","CHECK")</f>
        <v>OK</v>
      </c>
    </row>
    <row r="19" customFormat="false" ht="15" hidden="false" customHeight="true" outlineLevel="0" collapsed="false">
      <c r="A19" s="5" t="s">
        <v>63</v>
      </c>
      <c r="B19" s="5" t="s">
        <v>99</v>
      </c>
      <c r="C19" s="5" t="s">
        <v>100</v>
      </c>
      <c r="D19" s="5" t="s">
        <v>101</v>
      </c>
      <c r="E19" s="5" t="s">
        <v>72</v>
      </c>
      <c r="F19" s="5" t="s">
        <v>16</v>
      </c>
      <c r="G19" s="5" t="s">
        <v>73</v>
      </c>
      <c r="H19" s="11" t="n">
        <v>453.18</v>
      </c>
      <c r="I19" s="7" t="n">
        <v>22</v>
      </c>
      <c r="J19" s="7" t="n">
        <v>17.6</v>
      </c>
      <c r="K19" s="6" t="n">
        <v>7975.97</v>
      </c>
      <c r="L19" s="6" t="n">
        <v>-589.13</v>
      </c>
      <c r="M19" s="6"/>
      <c r="N19" s="6" t="n">
        <v>7386.84</v>
      </c>
      <c r="O19" s="6" t="n">
        <v>1846.71</v>
      </c>
      <c r="P19" s="6" t="n">
        <v>9233.55</v>
      </c>
      <c r="Q19" s="6" t="n">
        <v>856</v>
      </c>
      <c r="R19" s="7" t="n">
        <f aca="false">IF(G19="parking","",(K19+L19)/H19)</f>
        <v>16.3000132397723</v>
      </c>
      <c r="S19" s="5" t="str">
        <f aca="false">IF(ABS(ROUND(H19*J19,2)-K19)&lt;=0.02,"OK","CHECK")</f>
        <v>OK</v>
      </c>
      <c r="T19" s="5" t="str">
        <f aca="false">IF(ABS(ROUND(K19+L19+IF(M19="",0,M19),2)-N19)&lt;=0.011,"OK","CHECK")</f>
        <v>OK</v>
      </c>
      <c r="U19" s="5" t="str">
        <f aca="false">IF(ABS(ROUND(N19*0.25,2)-O19)&lt;=0.07,"OK","CHECK")</f>
        <v>OK</v>
      </c>
      <c r="V19" s="5" t="str">
        <f aca="false">IF(ABS(N19+O19-P19)&lt;=0.011,"OK","CHECK")</f>
        <v>OK</v>
      </c>
    </row>
    <row r="20" customFormat="false" ht="15" hidden="false" customHeight="true" outlineLevel="0" collapsed="false">
      <c r="A20" s="5" t="s">
        <v>63</v>
      </c>
      <c r="B20" s="5" t="s">
        <v>99</v>
      </c>
      <c r="C20" s="5" t="s">
        <v>102</v>
      </c>
      <c r="D20" s="5" t="s">
        <v>103</v>
      </c>
      <c r="E20" s="5" t="s">
        <v>67</v>
      </c>
      <c r="F20" s="5" t="s">
        <v>68</v>
      </c>
      <c r="G20" s="5" t="s">
        <v>69</v>
      </c>
      <c r="H20" s="11" t="n">
        <v>1</v>
      </c>
      <c r="I20" s="7" t="n">
        <v>990</v>
      </c>
      <c r="J20" s="7" t="n">
        <v>792</v>
      </c>
      <c r="K20" s="6" t="n">
        <v>792</v>
      </c>
      <c r="L20" s="6" t="n">
        <v>0</v>
      </c>
      <c r="M20" s="6" t="n">
        <v>44.55</v>
      </c>
      <c r="N20" s="6" t="n">
        <v>836.55</v>
      </c>
      <c r="O20" s="6" t="n">
        <v>209.14</v>
      </c>
      <c r="P20" s="6" t="n">
        <v>1045.69</v>
      </c>
      <c r="Q20" s="6" t="n">
        <v>96.94</v>
      </c>
      <c r="R20" s="7" t="str">
        <f aca="false">IF(G20="parking","",(K20+L20)/H20)</f>
        <v/>
      </c>
      <c r="S20" s="5" t="str">
        <f aca="false">IF(ABS(ROUND(H20*J20,2)-K20)&lt;=0.02,"OK","CHECK")</f>
        <v>OK</v>
      </c>
      <c r="T20" s="5" t="str">
        <f aca="false">IF(ABS(ROUND(K20+L20+IF(M20="",0,M20),2)-N20)&lt;=0.011,"OK","CHECK")</f>
        <v>OK</v>
      </c>
      <c r="U20" s="5" t="str">
        <f aca="false">IF(ABS(ROUND(N20*0.25,2)-O20)&lt;=0.07,"OK","CHECK")</f>
        <v>OK</v>
      </c>
      <c r="V20" s="5" t="str">
        <f aca="false">IF(ABS(N20+O20-P20)&lt;=0.011,"OK","CHECK")</f>
        <v>OK</v>
      </c>
    </row>
    <row r="21" customFormat="false" ht="15" hidden="false" customHeight="true" outlineLevel="0" collapsed="false">
      <c r="A21" s="5" t="s">
        <v>63</v>
      </c>
      <c r="B21" s="5" t="s">
        <v>99</v>
      </c>
      <c r="C21" s="5" t="s">
        <v>85</v>
      </c>
      <c r="D21" s="5" t="s">
        <v>104</v>
      </c>
      <c r="E21" s="5" t="s">
        <v>72</v>
      </c>
      <c r="F21" s="5" t="s">
        <v>16</v>
      </c>
      <c r="G21" s="5" t="s">
        <v>73</v>
      </c>
      <c r="H21" s="11" t="n">
        <v>310</v>
      </c>
      <c r="I21" s="7" t="n">
        <v>21.47</v>
      </c>
      <c r="J21" s="7" t="n">
        <v>17.176</v>
      </c>
      <c r="K21" s="6" t="n">
        <v>5324.56</v>
      </c>
      <c r="L21" s="6" t="n">
        <v>-403</v>
      </c>
      <c r="M21" s="6"/>
      <c r="N21" s="6" t="n">
        <v>4921.56</v>
      </c>
      <c r="O21" s="6" t="n">
        <v>1230.39</v>
      </c>
      <c r="P21" s="6" t="n">
        <v>6151.95</v>
      </c>
      <c r="Q21" s="6" t="n">
        <v>567.93</v>
      </c>
      <c r="R21" s="7" t="n">
        <f aca="false">IF(G21="parking","",(K21+L21)/H21)</f>
        <v>15.876</v>
      </c>
      <c r="S21" s="5" t="str">
        <f aca="false">IF(ABS(ROUND(H21*J21,2)-K21)&lt;=0.02,"OK","CHECK")</f>
        <v>OK</v>
      </c>
      <c r="T21" s="5" t="str">
        <f aca="false">IF(ABS(ROUND(K21+L21+IF(M21="",0,M21),2)-N21)&lt;=0.011,"OK","CHECK")</f>
        <v>OK</v>
      </c>
      <c r="U21" s="5" t="str">
        <f aca="false">IF(ABS(ROUND(N21*0.25,2)-O21)&lt;=0.07,"OK","CHECK")</f>
        <v>OK</v>
      </c>
      <c r="V21" s="5" t="str">
        <f aca="false">IF(ABS(N21+O21-P21)&lt;=0.011,"OK","CHECK")</f>
        <v>OK</v>
      </c>
    </row>
    <row r="22" customFormat="false" ht="15" hidden="false" customHeight="true" outlineLevel="0" collapsed="false">
      <c r="A22" s="5" t="s">
        <v>63</v>
      </c>
      <c r="B22" s="5" t="s">
        <v>99</v>
      </c>
      <c r="C22" s="5" t="s">
        <v>105</v>
      </c>
      <c r="D22" s="5" t="s">
        <v>106</v>
      </c>
      <c r="E22" s="5" t="s">
        <v>72</v>
      </c>
      <c r="F22" s="5" t="s">
        <v>14</v>
      </c>
      <c r="G22" s="5" t="s">
        <v>73</v>
      </c>
      <c r="H22" s="11" t="n">
        <v>282.45</v>
      </c>
      <c r="I22" s="7" t="n">
        <v>21.47</v>
      </c>
      <c r="J22" s="7" t="n">
        <v>17.176</v>
      </c>
      <c r="K22" s="6" t="n">
        <v>4851.36</v>
      </c>
      <c r="L22" s="6" t="n">
        <v>-367.19</v>
      </c>
      <c r="M22" s="6"/>
      <c r="N22" s="6" t="n">
        <v>4484.17</v>
      </c>
      <c r="O22" s="6" t="n">
        <v>1121.04</v>
      </c>
      <c r="P22" s="6" t="n">
        <v>5605.21</v>
      </c>
      <c r="Q22" s="6" t="n">
        <v>516.65</v>
      </c>
      <c r="R22" s="7" t="n">
        <f aca="false">IF(G22="parking","",(K22+L22)/H22)</f>
        <v>15.8759780492123</v>
      </c>
      <c r="S22" s="5" t="str">
        <f aca="false">IF(ABS(ROUND(H22*J22,2)-K22)&lt;=0.02,"OK","CHECK")</f>
        <v>OK</v>
      </c>
      <c r="T22" s="5" t="str">
        <f aca="false">IF(ABS(ROUND(K22+L22+IF(M22="",0,M22),2)-N22)&lt;=0.011,"OK","CHECK")</f>
        <v>OK</v>
      </c>
      <c r="U22" s="5" t="str">
        <f aca="false">IF(ABS(ROUND(N22*0.25,2)-O22)&lt;=0.07,"OK","CHECK")</f>
        <v>OK</v>
      </c>
      <c r="V22" s="5" t="str">
        <f aca="false">IF(ABS(N22+O22-P22)&lt;=0.011,"OK","CHECK")</f>
        <v>OK</v>
      </c>
    </row>
    <row r="23" customFormat="false" ht="15" hidden="false" customHeight="true" outlineLevel="0" collapsed="false">
      <c r="A23" s="5" t="s">
        <v>63</v>
      </c>
      <c r="B23" s="5" t="s">
        <v>99</v>
      </c>
      <c r="C23" s="5" t="s">
        <v>105</v>
      </c>
      <c r="D23" s="5" t="s">
        <v>107</v>
      </c>
      <c r="E23" s="5" t="s">
        <v>72</v>
      </c>
      <c r="F23" s="5" t="s">
        <v>14</v>
      </c>
      <c r="G23" s="5" t="s">
        <v>73</v>
      </c>
      <c r="H23" s="11" t="n">
        <v>150.01</v>
      </c>
      <c r="I23" s="7" t="n">
        <v>21.47</v>
      </c>
      <c r="J23" s="7" t="n">
        <v>17.176</v>
      </c>
      <c r="K23" s="6" t="n">
        <v>2576.57</v>
      </c>
      <c r="L23" s="6" t="n">
        <v>-195.01</v>
      </c>
      <c r="M23" s="6"/>
      <c r="N23" s="6" t="n">
        <v>2381.56</v>
      </c>
      <c r="O23" s="6" t="n">
        <v>595.39</v>
      </c>
      <c r="P23" s="6" t="n">
        <v>2976.95</v>
      </c>
      <c r="Q23" s="6" t="n">
        <v>274.39</v>
      </c>
      <c r="R23" s="7" t="n">
        <f aca="false">IF(G23="parking","",(K23+L23)/H23)</f>
        <v>15.8760082661156</v>
      </c>
      <c r="S23" s="5" t="str">
        <f aca="false">IF(ABS(ROUND(H23*J23,2)-K23)&lt;=0.02,"OK","CHECK")</f>
        <v>OK</v>
      </c>
      <c r="T23" s="5" t="str">
        <f aca="false">IF(ABS(ROUND(K23+L23+IF(M23="",0,M23),2)-N23)&lt;=0.011,"OK","CHECK")</f>
        <v>OK</v>
      </c>
      <c r="U23" s="5" t="str">
        <f aca="false">IF(ABS(ROUND(N23*0.25,2)-O23)&lt;=0.07,"OK","CHECK")</f>
        <v>OK</v>
      </c>
      <c r="V23" s="5" t="str">
        <f aca="false">IF(ABS(N23+O23-P23)&lt;=0.011,"OK","CHECK")</f>
        <v>OK</v>
      </c>
    </row>
    <row r="24" customFormat="false" ht="15" hidden="false" customHeight="true" outlineLevel="0" collapsed="false">
      <c r="A24" s="5" t="s">
        <v>63</v>
      </c>
      <c r="B24" s="5" t="s">
        <v>108</v>
      </c>
      <c r="C24" s="5" t="s">
        <v>65</v>
      </c>
      <c r="D24" s="5" t="s">
        <v>109</v>
      </c>
      <c r="E24" s="5" t="s">
        <v>72</v>
      </c>
      <c r="F24" s="5" t="s">
        <v>25</v>
      </c>
      <c r="G24" s="5" t="s">
        <v>73</v>
      </c>
      <c r="H24" s="11" t="n">
        <v>420.02</v>
      </c>
      <c r="I24" s="7" t="n">
        <v>22</v>
      </c>
      <c r="J24" s="7" t="n">
        <v>17.6</v>
      </c>
      <c r="K24" s="6" t="n">
        <v>7392.35</v>
      </c>
      <c r="L24" s="6" t="n">
        <v>-546.03</v>
      </c>
      <c r="M24" s="6"/>
      <c r="N24" s="6" t="n">
        <v>6846.32</v>
      </c>
      <c r="O24" s="6" t="n">
        <v>1711.58</v>
      </c>
      <c r="P24" s="6" t="n">
        <v>8557.9</v>
      </c>
      <c r="Q24" s="6" t="n">
        <v>792.45</v>
      </c>
      <c r="R24" s="7" t="n">
        <f aca="false">IF(G24="parking","",(K24+L24)/H24)</f>
        <v>16.299985714966</v>
      </c>
      <c r="S24" s="5" t="str">
        <f aca="false">IF(ABS(ROUND(H24*J24,2)-K24)&lt;=0.02,"OK","CHECK")</f>
        <v>OK</v>
      </c>
      <c r="T24" s="5" t="str">
        <f aca="false">IF(ABS(ROUND(K24+L24+IF(M24="",0,M24),2)-N24)&lt;=0.011,"OK","CHECK")</f>
        <v>OK</v>
      </c>
      <c r="U24" s="5" t="str">
        <f aca="false">IF(ABS(ROUND(N24*0.25,2)-O24)&lt;=0.07,"OK","CHECK")</f>
        <v>OK</v>
      </c>
      <c r="V24" s="5" t="str">
        <f aca="false">IF(ABS(N24+O24-P24)&lt;=0.011,"OK","CHECK")</f>
        <v>OK</v>
      </c>
    </row>
    <row r="25" customFormat="false" ht="15" hidden="false" customHeight="true" outlineLevel="0" collapsed="false">
      <c r="A25" s="5" t="s">
        <v>63</v>
      </c>
      <c r="B25" s="5" t="s">
        <v>108</v>
      </c>
      <c r="C25" s="5" t="s">
        <v>100</v>
      </c>
      <c r="D25" s="5" t="s">
        <v>110</v>
      </c>
      <c r="E25" s="5" t="s">
        <v>72</v>
      </c>
      <c r="F25" s="5" t="s">
        <v>24</v>
      </c>
      <c r="G25" s="5" t="s">
        <v>73</v>
      </c>
      <c r="H25" s="11" t="n">
        <v>430</v>
      </c>
      <c r="I25" s="7" t="n">
        <v>22</v>
      </c>
      <c r="J25" s="7" t="n">
        <v>17.6</v>
      </c>
      <c r="K25" s="6" t="n">
        <v>7568</v>
      </c>
      <c r="L25" s="6" t="n">
        <v>-559</v>
      </c>
      <c r="M25" s="6"/>
      <c r="N25" s="6" t="n">
        <v>7009</v>
      </c>
      <c r="O25" s="6" t="n">
        <v>1752.25</v>
      </c>
      <c r="P25" s="6" t="n">
        <v>8761.25</v>
      </c>
      <c r="Q25" s="6" t="n">
        <v>812.22</v>
      </c>
      <c r="R25" s="7" t="n">
        <f aca="false">IF(G25="parking","",(K25+L25)/H25)</f>
        <v>16.3</v>
      </c>
      <c r="S25" s="5" t="str">
        <f aca="false">IF(ABS(ROUND(H25*J25,2)-K25)&lt;=0.02,"OK","CHECK")</f>
        <v>OK</v>
      </c>
      <c r="T25" s="5" t="str">
        <f aca="false">IF(ABS(ROUND(K25+L25+IF(M25="",0,M25),2)-N25)&lt;=0.011,"OK","CHECK")</f>
        <v>OK</v>
      </c>
      <c r="U25" s="5" t="str">
        <f aca="false">IF(ABS(ROUND(N25*0.25,2)-O25)&lt;=0.07,"OK","CHECK")</f>
        <v>OK</v>
      </c>
      <c r="V25" s="5" t="str">
        <f aca="false">IF(ABS(N25+O25-P25)&lt;=0.011,"OK","CHECK")</f>
        <v>OK</v>
      </c>
    </row>
    <row r="26" customFormat="false" ht="15" hidden="false" customHeight="true" outlineLevel="0" collapsed="false">
      <c r="A26" s="5" t="s">
        <v>63</v>
      </c>
      <c r="B26" s="5" t="s">
        <v>108</v>
      </c>
      <c r="C26" s="5" t="s">
        <v>100</v>
      </c>
      <c r="D26" s="5" t="s">
        <v>111</v>
      </c>
      <c r="E26" s="5" t="s">
        <v>72</v>
      </c>
      <c r="F26" s="5" t="s">
        <v>24</v>
      </c>
      <c r="G26" s="5" t="s">
        <v>83</v>
      </c>
      <c r="H26" s="11" t="n">
        <v>46.77</v>
      </c>
      <c r="I26" s="7" t="n">
        <v>10.39</v>
      </c>
      <c r="J26" s="7" t="n">
        <v>8.312</v>
      </c>
      <c r="K26" s="6" t="n">
        <v>388.75</v>
      </c>
      <c r="L26" s="6" t="n">
        <v>-57.06</v>
      </c>
      <c r="M26" s="6"/>
      <c r="N26" s="6" t="n">
        <v>331.69</v>
      </c>
      <c r="O26" s="6" t="n">
        <v>82.92</v>
      </c>
      <c r="P26" s="6" t="n">
        <v>414.61</v>
      </c>
      <c r="Q26" s="6" t="n">
        <v>38.43</v>
      </c>
      <c r="R26" s="7" t="n">
        <f aca="false">IF(G26="parking","",(K26+L26)/H26)</f>
        <v>7.09193927731452</v>
      </c>
      <c r="S26" s="5" t="str">
        <f aca="false">IF(ABS(ROUND(H26*J26,2)-K26)&lt;=0.02,"OK","CHECK")</f>
        <v>OK</v>
      </c>
      <c r="T26" s="5" t="str">
        <f aca="false">IF(ABS(ROUND(K26+L26+IF(M26="",0,M26),2)-N26)&lt;=0.011,"OK","CHECK")</f>
        <v>OK</v>
      </c>
      <c r="U26" s="5" t="str">
        <f aca="false">IF(ABS(ROUND(N26*0.25,2)-O26)&lt;=0.07,"OK","CHECK")</f>
        <v>OK</v>
      </c>
      <c r="V26" s="5" t="str">
        <f aca="false">IF(ABS(N26+O26-P26)&lt;=0.011,"OK","CHECK")</f>
        <v>OK</v>
      </c>
    </row>
    <row r="27" customFormat="false" ht="15" hidden="false" customHeight="true" outlineLevel="0" collapsed="false">
      <c r="A27" s="5" t="s">
        <v>63</v>
      </c>
      <c r="B27" s="5" t="s">
        <v>108</v>
      </c>
      <c r="C27" s="5" t="s">
        <v>85</v>
      </c>
      <c r="D27" s="5" t="s">
        <v>112</v>
      </c>
      <c r="E27" s="5" t="s">
        <v>72</v>
      </c>
      <c r="F27" s="5" t="s">
        <v>13</v>
      </c>
      <c r="G27" s="5" t="s">
        <v>73</v>
      </c>
      <c r="H27" s="11" t="n">
        <v>272.23</v>
      </c>
      <c r="I27" s="7" t="n">
        <v>21.47</v>
      </c>
      <c r="J27" s="7" t="n">
        <v>17.176</v>
      </c>
      <c r="K27" s="6" t="n">
        <v>4675.82</v>
      </c>
      <c r="L27" s="6" t="n">
        <v>-353.9</v>
      </c>
      <c r="M27" s="6"/>
      <c r="N27" s="6" t="n">
        <v>4321.92</v>
      </c>
      <c r="O27" s="6" t="n">
        <v>1080.48</v>
      </c>
      <c r="P27" s="6" t="n">
        <v>5402.4</v>
      </c>
      <c r="Q27" s="6" t="n">
        <v>498.74</v>
      </c>
      <c r="R27" s="7" t="n">
        <f aca="false">IF(G27="parking","",(K27+L27)/H27)</f>
        <v>15.8759872166918</v>
      </c>
      <c r="S27" s="5" t="str">
        <f aca="false">IF(ABS(ROUND(H27*J27,2)-K27)&lt;=0.02,"OK","CHECK")</f>
        <v>OK</v>
      </c>
      <c r="T27" s="5" t="str">
        <f aca="false">IF(ABS(ROUND(K27+L27+IF(M27="",0,M27),2)-N27)&lt;=0.011,"OK","CHECK")</f>
        <v>OK</v>
      </c>
      <c r="U27" s="5" t="str">
        <f aca="false">IF(ABS(ROUND(N27*0.25,2)-O27)&lt;=0.07,"OK","CHECK")</f>
        <v>OK</v>
      </c>
      <c r="V27" s="5" t="str">
        <f aca="false">IF(ABS(N27+O27-P27)&lt;=0.011,"OK","CHECK")</f>
        <v>OK</v>
      </c>
    </row>
    <row r="28" customFormat="false" ht="15" hidden="false" customHeight="true" outlineLevel="0" collapsed="false">
      <c r="A28" s="5" t="s">
        <v>63</v>
      </c>
      <c r="B28" s="5" t="s">
        <v>108</v>
      </c>
      <c r="C28" s="5" t="s">
        <v>85</v>
      </c>
      <c r="D28" s="5" t="s">
        <v>113</v>
      </c>
      <c r="E28" s="5" t="s">
        <v>72</v>
      </c>
      <c r="F28" s="5" t="s">
        <v>13</v>
      </c>
      <c r="G28" s="5" t="s">
        <v>73</v>
      </c>
      <c r="H28" s="11" t="n">
        <v>250.5</v>
      </c>
      <c r="I28" s="7" t="n">
        <v>21.47</v>
      </c>
      <c r="J28" s="7" t="n">
        <v>17.176</v>
      </c>
      <c r="K28" s="6" t="n">
        <v>4302.59</v>
      </c>
      <c r="L28" s="6" t="n">
        <v>-325.65</v>
      </c>
      <c r="M28" s="6"/>
      <c r="N28" s="6" t="n">
        <v>3976.94</v>
      </c>
      <c r="O28" s="6" t="n">
        <v>994.24</v>
      </c>
      <c r="P28" s="6" t="n">
        <v>4971.18</v>
      </c>
      <c r="Q28" s="6" t="n">
        <v>458.93</v>
      </c>
      <c r="R28" s="7" t="n">
        <f aca="false">IF(G28="parking","",(K28+L28)/H28)</f>
        <v>15.8760079840319</v>
      </c>
      <c r="S28" s="5" t="str">
        <f aca="false">IF(ABS(ROUND(H28*J28,2)-K28)&lt;=0.02,"OK","CHECK")</f>
        <v>OK</v>
      </c>
      <c r="T28" s="5" t="str">
        <f aca="false">IF(ABS(ROUND(K28+L28+IF(M28="",0,M28),2)-N28)&lt;=0.011,"OK","CHECK")</f>
        <v>OK</v>
      </c>
      <c r="U28" s="5" t="str">
        <f aca="false">IF(ABS(ROUND(N28*0.25,2)-O28)&lt;=0.07,"OK","CHECK")</f>
        <v>OK</v>
      </c>
      <c r="V28" s="5" t="str">
        <f aca="false">IF(ABS(N28+O28-P28)&lt;=0.011,"OK","CHECK")</f>
        <v>OK</v>
      </c>
    </row>
    <row r="29" customFormat="false" ht="15" hidden="false" customHeight="true" outlineLevel="0" collapsed="false">
      <c r="A29" s="5" t="s">
        <v>63</v>
      </c>
      <c r="B29" s="5" t="s">
        <v>114</v>
      </c>
      <c r="C29" s="5" t="s">
        <v>70</v>
      </c>
      <c r="D29" s="5" t="s">
        <v>115</v>
      </c>
      <c r="E29" s="5" t="s">
        <v>116</v>
      </c>
      <c r="F29" s="5" t="s">
        <v>117</v>
      </c>
      <c r="G29" s="5" t="s">
        <v>69</v>
      </c>
      <c r="H29" s="11" t="n">
        <v>1</v>
      </c>
      <c r="I29" s="7" t="n">
        <v>140</v>
      </c>
      <c r="J29" s="7" t="n">
        <v>112</v>
      </c>
      <c r="K29" s="6" t="n">
        <v>112</v>
      </c>
      <c r="L29" s="6" t="n">
        <v>0</v>
      </c>
      <c r="M29" s="6" t="n">
        <v>6.3</v>
      </c>
      <c r="N29" s="6" t="n">
        <v>118.3</v>
      </c>
      <c r="O29" s="6" t="n">
        <v>29.58</v>
      </c>
      <c r="P29" s="6" t="n">
        <v>147.88</v>
      </c>
      <c r="Q29" s="6" t="n">
        <v>13.68</v>
      </c>
      <c r="R29" s="7" t="str">
        <f aca="false">IF(G29="parking","",(K29+L29)/H29)</f>
        <v/>
      </c>
      <c r="S29" s="5" t="str">
        <f aca="false">IF(ABS(ROUND(H29*J29,2)-K29)&lt;=0.02,"OK","CHECK")</f>
        <v>OK</v>
      </c>
      <c r="T29" s="5" t="str">
        <f aca="false">IF(ABS(ROUND(K29+L29+IF(M29="",0,M29),2)-N29)&lt;=0.011,"OK","CHECK")</f>
        <v>OK</v>
      </c>
      <c r="U29" s="5" t="str">
        <f aca="false">IF(ABS(ROUND(N29*0.25,2)-O29)&lt;=0.07,"OK","CHECK")</f>
        <v>OK</v>
      </c>
      <c r="V29" s="5" t="str">
        <f aca="false">IF(ABS(N29+O29-P29)&lt;=0.011,"OK","CHECK")</f>
        <v>OK</v>
      </c>
    </row>
    <row r="30" customFormat="false" ht="15" hidden="false" customHeight="true" outlineLevel="0" collapsed="false">
      <c r="A30" s="5" t="s">
        <v>63</v>
      </c>
      <c r="B30" s="5" t="s">
        <v>114</v>
      </c>
      <c r="C30" s="5" t="s">
        <v>118</v>
      </c>
      <c r="D30" s="5" t="s">
        <v>119</v>
      </c>
      <c r="E30" s="5" t="s">
        <v>116</v>
      </c>
      <c r="F30" s="5" t="s">
        <v>120</v>
      </c>
      <c r="G30" s="5" t="s">
        <v>69</v>
      </c>
      <c r="H30" s="11" t="n">
        <v>1</v>
      </c>
      <c r="I30" s="7" t="n">
        <v>130</v>
      </c>
      <c r="J30" s="7" t="n">
        <v>104</v>
      </c>
      <c r="K30" s="6" t="n">
        <v>104</v>
      </c>
      <c r="L30" s="6" t="n">
        <v>0</v>
      </c>
      <c r="M30" s="6" t="n">
        <v>5.85</v>
      </c>
      <c r="N30" s="6" t="n">
        <v>109.85</v>
      </c>
      <c r="O30" s="6" t="n">
        <v>27.46</v>
      </c>
      <c r="P30" s="6" t="n">
        <v>137.31</v>
      </c>
      <c r="Q30" s="6" t="n">
        <v>12.74</v>
      </c>
      <c r="R30" s="7" t="str">
        <f aca="false">IF(G30="parking","",(K30+L30)/H30)</f>
        <v/>
      </c>
      <c r="S30" s="5" t="str">
        <f aca="false">IF(ABS(ROUND(H30*J30,2)-K30)&lt;=0.02,"OK","CHECK")</f>
        <v>OK</v>
      </c>
      <c r="T30" s="5" t="str">
        <f aca="false">IF(ABS(ROUND(K30+L30+IF(M30="",0,M30),2)-N30)&lt;=0.011,"OK","CHECK")</f>
        <v>OK</v>
      </c>
      <c r="U30" s="5" t="str">
        <f aca="false">IF(ABS(ROUND(N30*0.25,2)-O30)&lt;=0.07,"OK","CHECK")</f>
        <v>OK</v>
      </c>
      <c r="V30" s="5" t="str">
        <f aca="false">IF(ABS(N30+O30-P30)&lt;=0.011,"OK","CHECK")</f>
        <v>OK</v>
      </c>
    </row>
    <row r="31" customFormat="false" ht="15" hidden="false" customHeight="true" outlineLevel="0" collapsed="false">
      <c r="A31" s="5" t="s">
        <v>63</v>
      </c>
      <c r="B31" s="5" t="s">
        <v>121</v>
      </c>
      <c r="C31" s="5" t="s">
        <v>118</v>
      </c>
      <c r="D31" s="5" t="s">
        <v>122</v>
      </c>
      <c r="E31" s="5" t="s">
        <v>72</v>
      </c>
      <c r="F31" s="5" t="s">
        <v>10</v>
      </c>
      <c r="G31" s="5" t="s">
        <v>73</v>
      </c>
      <c r="H31" s="11" t="n">
        <v>450</v>
      </c>
      <c r="I31" s="7" t="n">
        <v>22</v>
      </c>
      <c r="J31" s="7" t="n">
        <v>17.6</v>
      </c>
      <c r="K31" s="6" t="n">
        <v>7920</v>
      </c>
      <c r="L31" s="6" t="n">
        <v>-585</v>
      </c>
      <c r="M31" s="6"/>
      <c r="N31" s="6" t="n">
        <v>7335</v>
      </c>
      <c r="O31" s="6" t="n">
        <v>1833.75</v>
      </c>
      <c r="P31" s="6" t="n">
        <v>9168.75</v>
      </c>
      <c r="Q31" s="6" t="n">
        <v>850.97</v>
      </c>
      <c r="R31" s="7" t="n">
        <f aca="false">IF(G31="parking","",(K31+L31)/H31)</f>
        <v>16.3</v>
      </c>
      <c r="S31" s="5" t="str">
        <f aca="false">IF(ABS(ROUND(H31*J31,2)-K31)&lt;=0.02,"OK","CHECK")</f>
        <v>OK</v>
      </c>
      <c r="T31" s="5" t="str">
        <f aca="false">IF(ABS(ROUND(K31+L31+IF(M31="",0,M31),2)-N31)&lt;=0.011,"OK","CHECK")</f>
        <v>OK</v>
      </c>
      <c r="U31" s="5" t="str">
        <f aca="false">IF(ABS(ROUND(N31*0.25,2)-O31)&lt;=0.07,"OK","CHECK")</f>
        <v>OK</v>
      </c>
      <c r="V31" s="5" t="str">
        <f aca="false">IF(ABS(N31+O31-P31)&lt;=0.011,"OK","CHECK")</f>
        <v>OK</v>
      </c>
    </row>
    <row r="32" customFormat="false" ht="15" hidden="false" customHeight="true" outlineLevel="0" collapsed="false">
      <c r="A32" s="5" t="s">
        <v>63</v>
      </c>
      <c r="B32" s="5" t="s">
        <v>121</v>
      </c>
      <c r="C32" s="5" t="s">
        <v>118</v>
      </c>
      <c r="D32" s="5" t="s">
        <v>123</v>
      </c>
      <c r="E32" s="5" t="s">
        <v>72</v>
      </c>
      <c r="F32" s="5" t="s">
        <v>10</v>
      </c>
      <c r="G32" s="5" t="s">
        <v>73</v>
      </c>
      <c r="H32" s="11" t="n">
        <v>57.65</v>
      </c>
      <c r="I32" s="7" t="n">
        <v>22</v>
      </c>
      <c r="J32" s="7" t="n">
        <v>17.6</v>
      </c>
      <c r="K32" s="6" t="n">
        <v>1014.64</v>
      </c>
      <c r="L32" s="6" t="n">
        <v>-74.95</v>
      </c>
      <c r="M32" s="6"/>
      <c r="N32" s="6" t="n">
        <v>939.69</v>
      </c>
      <c r="O32" s="6" t="n">
        <v>234.92</v>
      </c>
      <c r="P32" s="6" t="n">
        <v>1174.61</v>
      </c>
      <c r="Q32" s="6" t="n">
        <v>109.01</v>
      </c>
      <c r="R32" s="7" t="n">
        <f aca="false">IF(G32="parking","",(K32+L32)/H32)</f>
        <v>16.2999132697311</v>
      </c>
      <c r="S32" s="5" t="str">
        <f aca="false">IF(ABS(ROUND(H32*J32,2)-K32)&lt;=0.02,"OK","CHECK")</f>
        <v>OK</v>
      </c>
      <c r="T32" s="5" t="str">
        <f aca="false">IF(ABS(ROUND(K32+L32+IF(M32="",0,M32),2)-N32)&lt;=0.011,"OK","CHECK")</f>
        <v>OK</v>
      </c>
      <c r="U32" s="5" t="str">
        <f aca="false">IF(ABS(ROUND(N32*0.25,2)-O32)&lt;=0.07,"OK","CHECK")</f>
        <v>OK</v>
      </c>
      <c r="V32" s="5" t="str">
        <f aca="false">IF(ABS(N32+O32-P32)&lt;=0.011,"OK","CHECK")</f>
        <v>OK</v>
      </c>
    </row>
    <row r="33" customFormat="false" ht="15" hidden="false" customHeight="true" outlineLevel="0" collapsed="false">
      <c r="A33" s="5" t="s">
        <v>63</v>
      </c>
      <c r="B33" s="5" t="s">
        <v>121</v>
      </c>
      <c r="C33" s="5" t="s">
        <v>85</v>
      </c>
      <c r="D33" s="5" t="s">
        <v>124</v>
      </c>
      <c r="E33" s="5" t="s">
        <v>72</v>
      </c>
      <c r="F33" s="5" t="s">
        <v>10</v>
      </c>
      <c r="G33" s="5" t="s">
        <v>73</v>
      </c>
      <c r="H33" s="11" t="n">
        <v>461.11</v>
      </c>
      <c r="I33" s="7" t="n">
        <v>21.47</v>
      </c>
      <c r="J33" s="7" t="n">
        <v>17.176</v>
      </c>
      <c r="K33" s="6" t="n">
        <v>7920.02</v>
      </c>
      <c r="L33" s="6" t="n">
        <v>-599.44</v>
      </c>
      <c r="M33" s="6"/>
      <c r="N33" s="6" t="n">
        <v>7320.58</v>
      </c>
      <c r="O33" s="6" t="n">
        <v>1830.15</v>
      </c>
      <c r="P33" s="6" t="n">
        <v>9150.73</v>
      </c>
      <c r="Q33" s="6" t="n">
        <v>844.78</v>
      </c>
      <c r="R33" s="7" t="n">
        <f aca="false">IF(G33="parking","",(K33+L33)/H33)</f>
        <v>15.8759948819154</v>
      </c>
      <c r="S33" s="5" t="str">
        <f aca="false">IF(ABS(ROUND(H33*J33,2)-K33)&lt;=0.02,"OK","CHECK")</f>
        <v>OK</v>
      </c>
      <c r="T33" s="5" t="str">
        <f aca="false">IF(ABS(ROUND(K33+L33+IF(M33="",0,M33),2)-N33)&lt;=0.011,"OK","CHECK")</f>
        <v>OK</v>
      </c>
      <c r="U33" s="5" t="str">
        <f aca="false">IF(ABS(ROUND(N33*0.25,2)-O33)&lt;=0.07,"OK","CHECK")</f>
        <v>OK</v>
      </c>
      <c r="V33" s="5" t="str">
        <f aca="false">IF(ABS(N33+O33-P33)&lt;=0.011,"OK","CHECK")</f>
        <v>OK</v>
      </c>
    </row>
    <row r="34" customFormat="false" ht="15" hidden="false" customHeight="true" outlineLevel="0" collapsed="false">
      <c r="A34" s="5" t="s">
        <v>63</v>
      </c>
      <c r="B34" s="5" t="s">
        <v>121</v>
      </c>
      <c r="C34" s="5" t="s">
        <v>85</v>
      </c>
      <c r="D34" s="5" t="s">
        <v>125</v>
      </c>
      <c r="E34" s="5" t="s">
        <v>72</v>
      </c>
      <c r="F34" s="5" t="s">
        <v>10</v>
      </c>
      <c r="G34" s="5" t="s">
        <v>73</v>
      </c>
      <c r="H34" s="11" t="n">
        <v>295.87</v>
      </c>
      <c r="I34" s="7" t="n">
        <v>21.47</v>
      </c>
      <c r="J34" s="7" t="n">
        <v>17.176</v>
      </c>
      <c r="K34" s="6" t="n">
        <v>5081.86</v>
      </c>
      <c r="L34" s="6" t="n">
        <v>-384.63</v>
      </c>
      <c r="M34" s="6"/>
      <c r="N34" s="6" t="n">
        <v>4697.23</v>
      </c>
      <c r="O34" s="6" t="n">
        <v>1174.31</v>
      </c>
      <c r="P34" s="6" t="n">
        <v>5871.54</v>
      </c>
      <c r="Q34" s="6" t="n">
        <v>542.05</v>
      </c>
      <c r="R34" s="7" t="n">
        <f aca="false">IF(G34="parking","",(K34+L34)/H34)</f>
        <v>15.8759928346909</v>
      </c>
      <c r="S34" s="5" t="str">
        <f aca="false">IF(ABS(ROUND(H34*J34,2)-K34)&lt;=0.02,"OK","CHECK")</f>
        <v>OK</v>
      </c>
      <c r="T34" s="5" t="str">
        <f aca="false">IF(ABS(ROUND(K34+L34+IF(M34="",0,M34),2)-N34)&lt;=0.011,"OK","CHECK")</f>
        <v>OK</v>
      </c>
      <c r="U34" s="5" t="str">
        <f aca="false">IF(ABS(ROUND(N34*0.25,2)-O34)&lt;=0.07,"OK","CHECK")</f>
        <v>OK</v>
      </c>
      <c r="V34" s="5" t="str">
        <f aca="false">IF(ABS(N34+O34-P34)&lt;=0.011,"OK","CHECK")</f>
        <v>OK</v>
      </c>
    </row>
    <row r="35" customFormat="false" ht="15" hidden="false" customHeight="true" outlineLevel="0" collapsed="false">
      <c r="A35" s="5" t="s">
        <v>63</v>
      </c>
      <c r="B35" s="5" t="s">
        <v>126</v>
      </c>
      <c r="C35" s="5" t="s">
        <v>118</v>
      </c>
      <c r="D35" s="5" t="s">
        <v>127</v>
      </c>
      <c r="E35" s="5" t="s">
        <v>72</v>
      </c>
      <c r="F35" s="5" t="s">
        <v>11</v>
      </c>
      <c r="G35" s="5" t="s">
        <v>83</v>
      </c>
      <c r="H35" s="11" t="n">
        <v>65.04</v>
      </c>
      <c r="I35" s="7" t="n">
        <v>10.3901</v>
      </c>
      <c r="J35" s="7" t="n">
        <v>8.3121</v>
      </c>
      <c r="K35" s="6" t="n">
        <v>540.62</v>
      </c>
      <c r="L35" s="6" t="n">
        <v>-79.35</v>
      </c>
      <c r="M35" s="6"/>
      <c r="N35" s="6" t="n">
        <v>461.27</v>
      </c>
      <c r="O35" s="6" t="n">
        <v>115.32</v>
      </c>
      <c r="P35" s="6" t="n">
        <v>576.59</v>
      </c>
      <c r="Q35" s="6" t="n">
        <v>53.51</v>
      </c>
      <c r="R35" s="7" t="n">
        <f aca="false">IF(G35="parking","",(K35+L35)/H35)</f>
        <v>7.09209717097171</v>
      </c>
      <c r="S35" s="5" t="str">
        <f aca="false">IF(ABS(ROUND(H35*J35,2)-K35)&lt;=0.02,"OK","CHECK")</f>
        <v>OK</v>
      </c>
      <c r="T35" s="5" t="str">
        <f aca="false">IF(ABS(ROUND(K35+L35+IF(M35="",0,M35),2)-N35)&lt;=0.011,"OK","CHECK")</f>
        <v>OK</v>
      </c>
      <c r="U35" s="5" t="str">
        <f aca="false">IF(ABS(ROUND(N35*0.25,2)-O35)&lt;=0.07,"OK","CHECK")</f>
        <v>OK</v>
      </c>
      <c r="V35" s="5" t="str">
        <f aca="false">IF(ABS(N35+O35-P35)&lt;=0.011,"OK","CHECK")</f>
        <v>OK</v>
      </c>
    </row>
    <row r="36" customFormat="false" ht="15" hidden="false" customHeight="true" outlineLevel="0" collapsed="false">
      <c r="A36" s="5" t="s">
        <v>63</v>
      </c>
      <c r="B36" s="5" t="s">
        <v>126</v>
      </c>
      <c r="C36" s="5" t="s">
        <v>105</v>
      </c>
      <c r="D36" s="5" t="s">
        <v>128</v>
      </c>
      <c r="E36" s="5" t="s">
        <v>72</v>
      </c>
      <c r="F36" s="5" t="s">
        <v>11</v>
      </c>
      <c r="G36" s="5" t="s">
        <v>73</v>
      </c>
      <c r="H36" s="11" t="n">
        <v>464.38</v>
      </c>
      <c r="I36" s="7" t="n">
        <v>21.47</v>
      </c>
      <c r="J36" s="7" t="n">
        <v>17.176</v>
      </c>
      <c r="K36" s="6" t="n">
        <v>7976.19</v>
      </c>
      <c r="L36" s="6" t="n">
        <v>-603.69</v>
      </c>
      <c r="M36" s="6"/>
      <c r="N36" s="6" t="n">
        <v>7372.5</v>
      </c>
      <c r="O36" s="6" t="n">
        <v>1843.13</v>
      </c>
      <c r="P36" s="6" t="n">
        <v>9215.63</v>
      </c>
      <c r="Q36" s="6" t="n">
        <v>849.43</v>
      </c>
      <c r="R36" s="7" t="n">
        <f aca="false">IF(G36="parking","",(K36+L36)/H36)</f>
        <v>15.8760067186356</v>
      </c>
      <c r="S36" s="5" t="str">
        <f aca="false">IF(ABS(ROUND(H36*J36,2)-K36)&lt;=0.02,"OK","CHECK")</f>
        <v>OK</v>
      </c>
      <c r="T36" s="5" t="str">
        <f aca="false">IF(ABS(ROUND(K36+L36+IF(M36="",0,M36),2)-N36)&lt;=0.011,"OK","CHECK")</f>
        <v>OK</v>
      </c>
      <c r="U36" s="5" t="str">
        <f aca="false">IF(ABS(ROUND(N36*0.25,2)-O36)&lt;=0.07,"OK","CHECK")</f>
        <v>OK</v>
      </c>
      <c r="V36" s="5" t="str">
        <f aca="false">IF(ABS(N36+O36-P36)&lt;=0.011,"OK","CHECK")</f>
        <v>OK</v>
      </c>
    </row>
    <row r="37" customFormat="false" ht="15" hidden="false" customHeight="true" outlineLevel="0" collapsed="false">
      <c r="A37" s="5" t="s">
        <v>63</v>
      </c>
      <c r="B37" s="5" t="s">
        <v>126</v>
      </c>
      <c r="C37" s="5" t="s">
        <v>105</v>
      </c>
      <c r="D37" s="5" t="s">
        <v>129</v>
      </c>
      <c r="E37" s="5" t="s">
        <v>72</v>
      </c>
      <c r="F37" s="5" t="s">
        <v>11</v>
      </c>
      <c r="G37" s="5" t="s">
        <v>73</v>
      </c>
      <c r="H37" s="11" t="n">
        <v>342.57</v>
      </c>
      <c r="I37" s="7" t="n">
        <v>21.47</v>
      </c>
      <c r="J37" s="7" t="n">
        <v>17.176</v>
      </c>
      <c r="K37" s="6" t="n">
        <v>5883.98</v>
      </c>
      <c r="L37" s="6" t="n">
        <v>-445.34</v>
      </c>
      <c r="M37" s="6"/>
      <c r="N37" s="6" t="n">
        <v>5438.64</v>
      </c>
      <c r="O37" s="6" t="n">
        <v>1359.66</v>
      </c>
      <c r="P37" s="6" t="n">
        <v>6798.3</v>
      </c>
      <c r="Q37" s="6" t="n">
        <v>626.63</v>
      </c>
      <c r="R37" s="7" t="n">
        <f aca="false">IF(G37="parking","",(K37+L37)/H37)</f>
        <v>15.8759961467729</v>
      </c>
      <c r="S37" s="5" t="str">
        <f aca="false">IF(ABS(ROUND(H37*J37,2)-K37)&lt;=0.02,"OK","CHECK")</f>
        <v>OK</v>
      </c>
      <c r="T37" s="5" t="str">
        <f aca="false">IF(ABS(ROUND(K37+L37+IF(M37="",0,M37),2)-N37)&lt;=0.011,"OK","CHECK")</f>
        <v>OK</v>
      </c>
      <c r="U37" s="5" t="str">
        <f aca="false">IF(ABS(ROUND(N37*0.25,2)-O37)&lt;=0.07,"OK","CHECK")</f>
        <v>OK</v>
      </c>
      <c r="V37" s="5" t="str">
        <f aca="false">IF(ABS(N37+O37-P37)&lt;=0.011,"OK","CHECK")</f>
        <v>OK</v>
      </c>
    </row>
    <row r="38" customFormat="false" ht="15" hidden="false" customHeight="true" outlineLevel="0" collapsed="false">
      <c r="A38" s="5" t="s">
        <v>63</v>
      </c>
      <c r="B38" s="5" t="s">
        <v>126</v>
      </c>
      <c r="C38" s="5" t="s">
        <v>105</v>
      </c>
      <c r="D38" s="5" t="s">
        <v>130</v>
      </c>
      <c r="E38" s="5" t="s">
        <v>72</v>
      </c>
      <c r="F38" s="5" t="s">
        <v>11</v>
      </c>
      <c r="G38" s="5" t="s">
        <v>73</v>
      </c>
      <c r="H38" s="11" t="n">
        <v>123.5</v>
      </c>
      <c r="I38" s="7" t="n">
        <v>21.47</v>
      </c>
      <c r="J38" s="7" t="n">
        <v>17.176</v>
      </c>
      <c r="K38" s="6" t="n">
        <v>2121.24</v>
      </c>
      <c r="L38" s="6" t="n">
        <v>-160.55</v>
      </c>
      <c r="M38" s="6"/>
      <c r="N38" s="6" t="n">
        <v>1960.69</v>
      </c>
      <c r="O38" s="6" t="n">
        <v>490.17</v>
      </c>
      <c r="P38" s="6" t="n">
        <v>2450.86</v>
      </c>
      <c r="Q38" s="6" t="n">
        <v>225.9</v>
      </c>
      <c r="R38" s="7" t="n">
        <f aca="false">IF(G38="parking","",(K38+L38)/H38)</f>
        <v>15.876032388664</v>
      </c>
      <c r="S38" s="5" t="str">
        <f aca="false">IF(ABS(ROUND(H38*J38,2)-K38)&lt;=0.02,"OK","CHECK")</f>
        <v>OK</v>
      </c>
      <c r="T38" s="5" t="str">
        <f aca="false">IF(ABS(ROUND(K38+L38+IF(M38="",0,M38),2)-N38)&lt;=0.011,"OK","CHECK")</f>
        <v>OK</v>
      </c>
      <c r="U38" s="5" t="str">
        <f aca="false">IF(ABS(ROUND(N38*0.25,2)-O38)&lt;=0.07,"OK","CHECK")</f>
        <v>OK</v>
      </c>
      <c r="V38" s="5" t="str">
        <f aca="false">IF(ABS(N38+O38-P38)&lt;=0.011,"OK","CHECK")</f>
        <v>OK</v>
      </c>
    </row>
    <row r="39" customFormat="false" ht="15" hidden="false" customHeight="true" outlineLevel="0" collapsed="false">
      <c r="A39" s="5" t="s">
        <v>63</v>
      </c>
      <c r="B39" s="5" t="s">
        <v>131</v>
      </c>
      <c r="C39" s="5" t="s">
        <v>70</v>
      </c>
      <c r="D39" s="5" t="s">
        <v>132</v>
      </c>
      <c r="E39" s="5" t="s">
        <v>72</v>
      </c>
      <c r="F39" s="5" t="s">
        <v>13</v>
      </c>
      <c r="G39" s="5" t="s">
        <v>73</v>
      </c>
      <c r="H39" s="11" t="n">
        <v>270.01</v>
      </c>
      <c r="I39" s="7" t="n">
        <v>22</v>
      </c>
      <c r="J39" s="7" t="n">
        <v>17.6</v>
      </c>
      <c r="K39" s="6" t="n">
        <v>4752.18</v>
      </c>
      <c r="L39" s="6" t="n">
        <v>-351.01</v>
      </c>
      <c r="M39" s="6"/>
      <c r="N39" s="6" t="n">
        <v>4401.17</v>
      </c>
      <c r="O39" s="6" t="n">
        <v>1100.29</v>
      </c>
      <c r="P39" s="6" t="n">
        <v>5501.46</v>
      </c>
      <c r="Q39" s="6" t="n">
        <v>509.1</v>
      </c>
      <c r="R39" s="7" t="n">
        <f aca="false">IF(G39="parking","",(K39+L39)/H39)</f>
        <v>16.3000259249657</v>
      </c>
      <c r="S39" s="5" t="str">
        <f aca="false">IF(ABS(ROUND(H39*J39,2)-K39)&lt;=0.02,"OK","CHECK")</f>
        <v>OK</v>
      </c>
      <c r="T39" s="5" t="str">
        <f aca="false">IF(ABS(ROUND(K39+L39+IF(M39="",0,M39),2)-N39)&lt;=0.011,"OK","CHECK")</f>
        <v>OK</v>
      </c>
      <c r="U39" s="5" t="str">
        <f aca="false">IF(ABS(ROUND(N39*0.25,2)-O39)&lt;=0.07,"OK","CHECK")</f>
        <v>OK</v>
      </c>
      <c r="V39" s="5" t="str">
        <f aca="false">IF(ABS(N39+O39-P39)&lt;=0.011,"OK","CHECK")</f>
        <v>OK</v>
      </c>
    </row>
    <row r="40" customFormat="false" ht="15" hidden="false" customHeight="true" outlineLevel="0" collapsed="false">
      <c r="A40" s="5" t="s">
        <v>63</v>
      </c>
      <c r="B40" s="5" t="s">
        <v>131</v>
      </c>
      <c r="C40" s="5" t="s">
        <v>118</v>
      </c>
      <c r="D40" s="5" t="s">
        <v>133</v>
      </c>
      <c r="E40" s="5" t="s">
        <v>72</v>
      </c>
      <c r="F40" s="5" t="s">
        <v>23</v>
      </c>
      <c r="G40" s="5" t="s">
        <v>73</v>
      </c>
      <c r="H40" s="11" t="n">
        <v>195</v>
      </c>
      <c r="I40" s="7" t="n">
        <v>22</v>
      </c>
      <c r="J40" s="7" t="n">
        <v>17.6</v>
      </c>
      <c r="K40" s="6" t="n">
        <v>3432</v>
      </c>
      <c r="L40" s="6" t="n">
        <v>-253.5</v>
      </c>
      <c r="M40" s="6"/>
      <c r="N40" s="6" t="n">
        <v>3178.5</v>
      </c>
      <c r="O40" s="6" t="n">
        <v>794.63</v>
      </c>
      <c r="P40" s="6" t="n">
        <v>3973.13</v>
      </c>
      <c r="Q40" s="6" t="n">
        <v>368.76</v>
      </c>
      <c r="R40" s="7" t="n">
        <f aca="false">IF(G40="parking","",(K40+L40)/H40)</f>
        <v>16.3</v>
      </c>
      <c r="S40" s="5" t="str">
        <f aca="false">IF(ABS(ROUND(H40*J40,2)-K40)&lt;=0.02,"OK","CHECK")</f>
        <v>OK</v>
      </c>
      <c r="T40" s="5" t="str">
        <f aca="false">IF(ABS(ROUND(K40+L40+IF(M40="",0,M40),2)-N40)&lt;=0.011,"OK","CHECK")</f>
        <v>OK</v>
      </c>
      <c r="U40" s="5" t="str">
        <f aca="false">IF(ABS(ROUND(N40*0.25,2)-O40)&lt;=0.07,"OK","CHECK")</f>
        <v>OK</v>
      </c>
      <c r="V40" s="5" t="str">
        <f aca="false">IF(ABS(N40+O40-P40)&lt;=0.011,"OK","CHECK")</f>
        <v>OK</v>
      </c>
    </row>
    <row r="41" customFormat="false" ht="15" hidden="false" customHeight="true" outlineLevel="0" collapsed="false">
      <c r="A41" s="5" t="s">
        <v>63</v>
      </c>
      <c r="B41" s="5" t="s">
        <v>131</v>
      </c>
      <c r="C41" s="5" t="s">
        <v>118</v>
      </c>
      <c r="D41" s="5" t="s">
        <v>134</v>
      </c>
      <c r="E41" s="5" t="s">
        <v>72</v>
      </c>
      <c r="F41" s="5" t="s">
        <v>23</v>
      </c>
      <c r="G41" s="5" t="s">
        <v>73</v>
      </c>
      <c r="H41" s="11" t="n">
        <v>170</v>
      </c>
      <c r="I41" s="7" t="n">
        <v>22</v>
      </c>
      <c r="J41" s="7" t="n">
        <v>17.6</v>
      </c>
      <c r="K41" s="6" t="n">
        <v>2992</v>
      </c>
      <c r="L41" s="6" t="n">
        <v>-221</v>
      </c>
      <c r="M41" s="6"/>
      <c r="N41" s="6" t="n">
        <v>2771</v>
      </c>
      <c r="O41" s="6" t="n">
        <v>692.75</v>
      </c>
      <c r="P41" s="6" t="n">
        <v>3463.75</v>
      </c>
      <c r="Q41" s="6" t="n">
        <v>321.48</v>
      </c>
      <c r="R41" s="7" t="n">
        <f aca="false">IF(G41="parking","",(K41+L41)/H41)</f>
        <v>16.3</v>
      </c>
      <c r="S41" s="5" t="str">
        <f aca="false">IF(ABS(ROUND(H41*J41,2)-K41)&lt;=0.02,"OK","CHECK")</f>
        <v>OK</v>
      </c>
      <c r="T41" s="5" t="str">
        <f aca="false">IF(ABS(ROUND(K41+L41+IF(M41="",0,M41),2)-N41)&lt;=0.011,"OK","CHECK")</f>
        <v>OK</v>
      </c>
      <c r="U41" s="5" t="str">
        <f aca="false">IF(ABS(ROUND(N41*0.25,2)-O41)&lt;=0.07,"OK","CHECK")</f>
        <v>OK</v>
      </c>
      <c r="V41" s="5" t="str">
        <f aca="false">IF(ABS(N41+O41-P41)&lt;=0.011,"OK","CHECK")</f>
        <v>OK</v>
      </c>
    </row>
    <row r="42" customFormat="false" ht="15" hidden="false" customHeight="true" outlineLevel="0" collapsed="false">
      <c r="A42" s="5" t="s">
        <v>63</v>
      </c>
      <c r="B42" s="5" t="s">
        <v>131</v>
      </c>
      <c r="C42" s="5" t="s">
        <v>118</v>
      </c>
      <c r="D42" s="5" t="s">
        <v>135</v>
      </c>
      <c r="E42" s="5" t="s">
        <v>72</v>
      </c>
      <c r="F42" s="5" t="s">
        <v>23</v>
      </c>
      <c r="G42" s="5" t="s">
        <v>83</v>
      </c>
      <c r="H42" s="11" t="n">
        <v>28.46</v>
      </c>
      <c r="I42" s="7" t="n">
        <v>10.39</v>
      </c>
      <c r="J42" s="7" t="n">
        <v>8.312</v>
      </c>
      <c r="K42" s="6" t="n">
        <v>236.56</v>
      </c>
      <c r="L42" s="6" t="n">
        <v>-34.72</v>
      </c>
      <c r="M42" s="6"/>
      <c r="N42" s="6" t="n">
        <v>201.84</v>
      </c>
      <c r="O42" s="6" t="n">
        <v>50.46</v>
      </c>
      <c r="P42" s="6" t="n">
        <v>252.3</v>
      </c>
      <c r="Q42" s="6" t="n">
        <v>23.41</v>
      </c>
      <c r="R42" s="7" t="n">
        <f aca="false">IF(G42="parking","",(K42+L42)/H42)</f>
        <v>7.09205903021785</v>
      </c>
      <c r="S42" s="5" t="str">
        <f aca="false">IF(ABS(ROUND(H42*J42,2)-K42)&lt;=0.02,"OK","CHECK")</f>
        <v>OK</v>
      </c>
      <c r="T42" s="5" t="str">
        <f aca="false">IF(ABS(ROUND(K42+L42+IF(M42="",0,M42),2)-N42)&lt;=0.011,"OK","CHECK")</f>
        <v>OK</v>
      </c>
      <c r="U42" s="5" t="str">
        <f aca="false">IF(ABS(ROUND(N42*0.25,2)-O42)&lt;=0.07,"OK","CHECK")</f>
        <v>OK</v>
      </c>
      <c r="V42" s="5" t="str">
        <f aca="false">IF(ABS(N42+O42-P42)&lt;=0.011,"OK","CHECK")</f>
        <v>OK</v>
      </c>
    </row>
    <row r="43" customFormat="false" ht="15" hidden="false" customHeight="true" outlineLevel="0" collapsed="false">
      <c r="A43" s="5" t="s">
        <v>63</v>
      </c>
      <c r="B43" s="5" t="s">
        <v>131</v>
      </c>
      <c r="C43" s="5" t="s">
        <v>136</v>
      </c>
      <c r="D43" s="5" t="s">
        <v>137</v>
      </c>
      <c r="E43" s="5" t="s">
        <v>72</v>
      </c>
      <c r="F43" s="5" t="s">
        <v>17</v>
      </c>
      <c r="G43" s="5" t="s">
        <v>73</v>
      </c>
      <c r="H43" s="11" t="n">
        <v>478.93</v>
      </c>
      <c r="I43" s="7" t="n">
        <v>21.47</v>
      </c>
      <c r="J43" s="7" t="n">
        <v>17.176</v>
      </c>
      <c r="K43" s="6" t="n">
        <v>8226.1</v>
      </c>
      <c r="L43" s="6" t="n">
        <v>-622.61</v>
      </c>
      <c r="M43" s="6"/>
      <c r="N43" s="6" t="n">
        <v>7603.49</v>
      </c>
      <c r="O43" s="6" t="n">
        <v>1900.83</v>
      </c>
      <c r="P43" s="6" t="n">
        <v>9504.32</v>
      </c>
      <c r="Q43" s="6" t="n">
        <v>873.92</v>
      </c>
      <c r="R43" s="7" t="n">
        <f aca="false">IF(G43="parking","",(K43+L43)/H43)</f>
        <v>15.8759944041927</v>
      </c>
      <c r="S43" s="5" t="str">
        <f aca="false">IF(ABS(ROUND(H43*J43,2)-K43)&lt;=0.02,"OK","CHECK")</f>
        <v>OK</v>
      </c>
      <c r="T43" s="5" t="str">
        <f aca="false">IF(ABS(ROUND(K43+L43+IF(M43="",0,M43),2)-N43)&lt;=0.011,"OK","CHECK")</f>
        <v>OK</v>
      </c>
      <c r="U43" s="5" t="str">
        <f aca="false">IF(ABS(ROUND(N43*0.25,2)-O43)&lt;=0.07,"OK","CHECK")</f>
        <v>OK</v>
      </c>
      <c r="V43" s="5" t="str">
        <f aca="false">IF(ABS(N43+O43-P43)&lt;=0.011,"OK","CHECK")</f>
        <v>OK</v>
      </c>
    </row>
    <row r="44" customFormat="false" ht="15" hidden="false" customHeight="true" outlineLevel="0" collapsed="false">
      <c r="A44" s="5" t="s">
        <v>63</v>
      </c>
      <c r="B44" s="5" t="s">
        <v>131</v>
      </c>
      <c r="C44" s="5" t="s">
        <v>136</v>
      </c>
      <c r="D44" s="5" t="s">
        <v>138</v>
      </c>
      <c r="E44" s="5" t="s">
        <v>72</v>
      </c>
      <c r="F44" s="5" t="s">
        <v>17</v>
      </c>
      <c r="G44" s="5" t="s">
        <v>83</v>
      </c>
      <c r="H44" s="11" t="n">
        <v>26</v>
      </c>
      <c r="I44" s="7" t="n">
        <v>9.89</v>
      </c>
      <c r="J44" s="7" t="n">
        <v>7.9119</v>
      </c>
      <c r="K44" s="6" t="n">
        <v>205.71</v>
      </c>
      <c r="L44" s="6" t="n">
        <v>-31.72</v>
      </c>
      <c r="M44" s="6"/>
      <c r="N44" s="6" t="n">
        <v>173.99</v>
      </c>
      <c r="O44" s="6" t="n">
        <v>43.5</v>
      </c>
      <c r="P44" s="6" t="n">
        <v>217.49</v>
      </c>
      <c r="Q44" s="6" t="n">
        <v>20</v>
      </c>
      <c r="R44" s="7" t="n">
        <f aca="false">IF(G44="parking","",(K44+L44)/H44)</f>
        <v>6.69192307692308</v>
      </c>
      <c r="S44" s="5" t="str">
        <f aca="false">IF(ABS(ROUND(H44*J44,2)-K44)&lt;=0.02,"OK","CHECK")</f>
        <v>OK</v>
      </c>
      <c r="T44" s="5" t="str">
        <f aca="false">IF(ABS(ROUND(K44+L44+IF(M44="",0,M44),2)-N44)&lt;=0.011,"OK","CHECK")</f>
        <v>OK</v>
      </c>
      <c r="U44" s="5" t="str">
        <f aca="false">IF(ABS(ROUND(N44*0.25,2)-O44)&lt;=0.07,"OK","CHECK")</f>
        <v>OK</v>
      </c>
      <c r="V44" s="5" t="str">
        <f aca="false">IF(ABS(N44+O44-P44)&lt;=0.011,"OK","CHECK")</f>
        <v>OK</v>
      </c>
    </row>
    <row r="45" customFormat="false" ht="15" hidden="false" customHeight="true" outlineLevel="0" collapsed="false">
      <c r="A45" s="5" t="s">
        <v>63</v>
      </c>
      <c r="B45" s="5" t="s">
        <v>139</v>
      </c>
      <c r="C45" s="5" t="s">
        <v>70</v>
      </c>
      <c r="D45" s="5" t="s">
        <v>140</v>
      </c>
      <c r="E45" s="5" t="s">
        <v>72</v>
      </c>
      <c r="F45" s="5" t="s">
        <v>12</v>
      </c>
      <c r="G45" s="5" t="s">
        <v>73</v>
      </c>
      <c r="H45" s="11" t="n">
        <v>453.55</v>
      </c>
      <c r="I45" s="7" t="n">
        <v>22</v>
      </c>
      <c r="J45" s="7" t="n">
        <v>17.6</v>
      </c>
      <c r="K45" s="6" t="n">
        <v>7982.48</v>
      </c>
      <c r="L45" s="6" t="n">
        <v>-589.62</v>
      </c>
      <c r="M45" s="6"/>
      <c r="N45" s="6" t="n">
        <v>7392.86</v>
      </c>
      <c r="O45" s="6" t="n">
        <v>1848.22</v>
      </c>
      <c r="P45" s="6" t="n">
        <v>9241.08</v>
      </c>
      <c r="Q45" s="6" t="n">
        <v>855.16</v>
      </c>
      <c r="R45" s="7" t="n">
        <f aca="false">IF(G45="parking","",(K45+L45)/H45)</f>
        <v>16.2999889758571</v>
      </c>
      <c r="S45" s="5" t="str">
        <f aca="false">IF(ABS(ROUND(H45*J45,2)-K45)&lt;=0.02,"OK","CHECK")</f>
        <v>OK</v>
      </c>
      <c r="T45" s="5" t="str">
        <f aca="false">IF(ABS(ROUND(K45+L45+IF(M45="",0,M45),2)-N45)&lt;=0.011,"OK","CHECK")</f>
        <v>OK</v>
      </c>
      <c r="U45" s="5" t="str">
        <f aca="false">IF(ABS(ROUND(N45*0.25,2)-O45)&lt;=0.07,"OK","CHECK")</f>
        <v>OK</v>
      </c>
      <c r="V45" s="5" t="str">
        <f aca="false">IF(ABS(N45+O45-P45)&lt;=0.011,"OK","CHECK")</f>
        <v>OK</v>
      </c>
    </row>
    <row r="46" customFormat="false" ht="15" hidden="false" customHeight="true" outlineLevel="0" collapsed="false">
      <c r="A46" s="5" t="s">
        <v>63</v>
      </c>
      <c r="B46" s="5" t="s">
        <v>139</v>
      </c>
      <c r="C46" s="5" t="s">
        <v>70</v>
      </c>
      <c r="D46" s="5" t="s">
        <v>141</v>
      </c>
      <c r="E46" s="5" t="s">
        <v>72</v>
      </c>
      <c r="F46" s="5" t="s">
        <v>12</v>
      </c>
      <c r="G46" s="5" t="s">
        <v>73</v>
      </c>
      <c r="H46" s="11" t="n">
        <v>323.06</v>
      </c>
      <c r="I46" s="7" t="n">
        <v>22</v>
      </c>
      <c r="J46" s="7" t="n">
        <v>17.6</v>
      </c>
      <c r="K46" s="6" t="n">
        <v>5685.86</v>
      </c>
      <c r="L46" s="6" t="n">
        <v>-419.98</v>
      </c>
      <c r="M46" s="6"/>
      <c r="N46" s="6" t="n">
        <v>5265.88</v>
      </c>
      <c r="O46" s="6" t="n">
        <v>1316.47</v>
      </c>
      <c r="P46" s="6" t="n">
        <v>6582.35</v>
      </c>
      <c r="Q46" s="6" t="n">
        <v>609.13</v>
      </c>
      <c r="R46" s="7" t="n">
        <f aca="false">IF(G46="parking","",(K46+L46)/H46)</f>
        <v>16.3000061908005</v>
      </c>
      <c r="S46" s="5" t="str">
        <f aca="false">IF(ABS(ROUND(H46*J46,2)-K46)&lt;=0.02,"OK","CHECK")</f>
        <v>OK</v>
      </c>
      <c r="T46" s="5" t="str">
        <f aca="false">IF(ABS(ROUND(K46+L46+IF(M46="",0,M46),2)-N46)&lt;=0.011,"OK","CHECK")</f>
        <v>OK</v>
      </c>
      <c r="U46" s="5" t="str">
        <f aca="false">IF(ABS(ROUND(N46*0.25,2)-O46)&lt;=0.07,"OK","CHECK")</f>
        <v>OK</v>
      </c>
      <c r="V46" s="5" t="str">
        <f aca="false">IF(ABS(N46+O46-P46)&lt;=0.011,"OK","CHECK")</f>
        <v>OK</v>
      </c>
    </row>
    <row r="47" customFormat="false" ht="15" hidden="false" customHeight="true" outlineLevel="0" collapsed="false">
      <c r="A47" s="5" t="s">
        <v>63</v>
      </c>
      <c r="B47" s="5" t="s">
        <v>139</v>
      </c>
      <c r="C47" s="5" t="s">
        <v>70</v>
      </c>
      <c r="D47" s="5" t="s">
        <v>142</v>
      </c>
      <c r="E47" s="5" t="s">
        <v>72</v>
      </c>
      <c r="F47" s="5" t="s">
        <v>12</v>
      </c>
      <c r="G47" s="5" t="s">
        <v>83</v>
      </c>
      <c r="H47" s="11" t="n">
        <v>40</v>
      </c>
      <c r="I47" s="7" t="n">
        <v>10.39</v>
      </c>
      <c r="J47" s="7" t="n">
        <v>8.312</v>
      </c>
      <c r="K47" s="6" t="n">
        <v>332.48</v>
      </c>
      <c r="L47" s="6" t="n">
        <v>-48.8</v>
      </c>
      <c r="M47" s="6"/>
      <c r="N47" s="6" t="n">
        <v>283.68</v>
      </c>
      <c r="O47" s="6" t="n">
        <v>70.92</v>
      </c>
      <c r="P47" s="6" t="n">
        <v>354.6</v>
      </c>
      <c r="Q47" s="6" t="n">
        <v>32.81</v>
      </c>
      <c r="R47" s="7" t="n">
        <f aca="false">IF(G47="parking","",(K47+L47)/H47)</f>
        <v>7.092</v>
      </c>
      <c r="S47" s="5" t="str">
        <f aca="false">IF(ABS(ROUND(H47*J47,2)-K47)&lt;=0.02,"OK","CHECK")</f>
        <v>OK</v>
      </c>
      <c r="T47" s="5" t="str">
        <f aca="false">IF(ABS(ROUND(K47+L47+IF(M47="",0,M47),2)-N47)&lt;=0.011,"OK","CHECK")</f>
        <v>OK</v>
      </c>
      <c r="U47" s="5" t="str">
        <f aca="false">IF(ABS(ROUND(N47*0.25,2)-O47)&lt;=0.07,"OK","CHECK")</f>
        <v>OK</v>
      </c>
      <c r="V47" s="5" t="str">
        <f aca="false">IF(ABS(N47+O47-P47)&lt;=0.011,"OK","CHECK")</f>
        <v>OK</v>
      </c>
    </row>
    <row r="48" customFormat="false" ht="15" hidden="false" customHeight="true" outlineLevel="0" collapsed="false">
      <c r="A48" s="5" t="s">
        <v>63</v>
      </c>
      <c r="B48" s="5" t="s">
        <v>139</v>
      </c>
      <c r="C48" s="5" t="s">
        <v>88</v>
      </c>
      <c r="D48" s="5" t="s">
        <v>143</v>
      </c>
      <c r="E48" s="5" t="s">
        <v>72</v>
      </c>
      <c r="F48" s="5" t="s">
        <v>12</v>
      </c>
      <c r="G48" s="5" t="s">
        <v>73</v>
      </c>
      <c r="H48" s="11" t="n">
        <v>464.77</v>
      </c>
      <c r="I48" s="7" t="n">
        <v>21.47</v>
      </c>
      <c r="J48" s="7" t="n">
        <v>17.176</v>
      </c>
      <c r="K48" s="6" t="n">
        <v>7982.89</v>
      </c>
      <c r="L48" s="6" t="n">
        <v>-604.2</v>
      </c>
      <c r="M48" s="6"/>
      <c r="N48" s="6" t="n">
        <v>7378.69</v>
      </c>
      <c r="O48" s="6" t="n">
        <v>1844.67</v>
      </c>
      <c r="P48" s="6" t="n">
        <v>9223.36</v>
      </c>
      <c r="Q48" s="6" t="n">
        <v>848.4</v>
      </c>
      <c r="R48" s="7" t="n">
        <f aca="false">IF(G48="parking","",(K48+L48)/H48)</f>
        <v>15.8760031843708</v>
      </c>
      <c r="S48" s="5" t="str">
        <f aca="false">IF(ABS(ROUND(H48*J48,2)-K48)&lt;=0.02,"OK","CHECK")</f>
        <v>OK</v>
      </c>
      <c r="T48" s="5" t="str">
        <f aca="false">IF(ABS(ROUND(K48+L48+IF(M48="",0,M48),2)-N48)&lt;=0.011,"OK","CHECK")</f>
        <v>OK</v>
      </c>
      <c r="U48" s="5" t="str">
        <f aca="false">IF(ABS(ROUND(N48*0.25,2)-O48)&lt;=0.07,"OK","CHECK")</f>
        <v>OK</v>
      </c>
      <c r="V48" s="5" t="str">
        <f aca="false">IF(ABS(N48+O48-P48)&lt;=0.011,"OK","CHECK")</f>
        <v>OK</v>
      </c>
    </row>
    <row r="49" customFormat="false" ht="15" hidden="false" customHeight="true" outlineLevel="0" collapsed="false">
      <c r="A49" s="5" t="s">
        <v>63</v>
      </c>
      <c r="B49" s="5" t="s">
        <v>139</v>
      </c>
      <c r="C49" s="5" t="s">
        <v>88</v>
      </c>
      <c r="D49" s="5" t="s">
        <v>144</v>
      </c>
      <c r="E49" s="5" t="s">
        <v>72</v>
      </c>
      <c r="F49" s="5" t="s">
        <v>12</v>
      </c>
      <c r="G49" s="5" t="s">
        <v>73</v>
      </c>
      <c r="H49" s="11" t="n">
        <v>272.82</v>
      </c>
      <c r="I49" s="7" t="n">
        <v>21.47</v>
      </c>
      <c r="J49" s="7" t="n">
        <v>17.176</v>
      </c>
      <c r="K49" s="6" t="n">
        <v>4685.96</v>
      </c>
      <c r="L49" s="6" t="n">
        <v>-354.67</v>
      </c>
      <c r="M49" s="6"/>
      <c r="N49" s="6" t="n">
        <v>4331.29</v>
      </c>
      <c r="O49" s="6" t="n">
        <v>1082.82</v>
      </c>
      <c r="P49" s="6" t="n">
        <v>5414.11</v>
      </c>
      <c r="Q49" s="6" t="n">
        <v>498</v>
      </c>
      <c r="R49" s="7" t="n">
        <f aca="false">IF(G49="parking","",(K49+L49)/H49)</f>
        <v>15.8759988270655</v>
      </c>
      <c r="S49" s="5" t="str">
        <f aca="false">IF(ABS(ROUND(H49*J49,2)-K49)&lt;=0.02,"OK","CHECK")</f>
        <v>OK</v>
      </c>
      <c r="T49" s="5" t="str">
        <f aca="false">IF(ABS(ROUND(K49+L49+IF(M49="",0,M49),2)-N49)&lt;=0.011,"OK","CHECK")</f>
        <v>OK</v>
      </c>
      <c r="U49" s="5" t="str">
        <f aca="false">IF(ABS(ROUND(N49*0.25,2)-O49)&lt;=0.07,"OK","CHECK")</f>
        <v>OK</v>
      </c>
      <c r="V49" s="5" t="str">
        <f aca="false">IF(ABS(N49+O49-P49)&lt;=0.011,"OK","CHECK")</f>
        <v>OK</v>
      </c>
    </row>
    <row r="50" customFormat="false" ht="15" hidden="false" customHeight="true" outlineLevel="0" collapsed="false">
      <c r="A50" s="5" t="s">
        <v>63</v>
      </c>
      <c r="B50" s="5" t="s">
        <v>139</v>
      </c>
      <c r="C50" s="5" t="s">
        <v>88</v>
      </c>
      <c r="D50" s="5" t="s">
        <v>145</v>
      </c>
      <c r="E50" s="5" t="s">
        <v>72</v>
      </c>
      <c r="F50" s="5" t="s">
        <v>12</v>
      </c>
      <c r="G50" s="5" t="s">
        <v>83</v>
      </c>
      <c r="H50" s="11" t="n">
        <v>32.43</v>
      </c>
      <c r="I50" s="7" t="n">
        <v>9.8899</v>
      </c>
      <c r="J50" s="7" t="n">
        <v>7.9118</v>
      </c>
      <c r="K50" s="6" t="n">
        <v>256.58</v>
      </c>
      <c r="L50" s="6" t="n">
        <v>-39.56</v>
      </c>
      <c r="M50" s="6"/>
      <c r="N50" s="6" t="n">
        <v>217.02</v>
      </c>
      <c r="O50" s="6" t="n">
        <v>54.26</v>
      </c>
      <c r="P50" s="6" t="n">
        <v>271.28</v>
      </c>
      <c r="Q50" s="6" t="n">
        <v>24.95</v>
      </c>
      <c r="R50" s="7" t="n">
        <f aca="false">IF(G50="parking","",(K50+L50)/H50)</f>
        <v>6.69195189639223</v>
      </c>
      <c r="S50" s="5" t="str">
        <f aca="false">IF(ABS(ROUND(H50*J50,2)-K50)&lt;=0.02,"OK","CHECK")</f>
        <v>OK</v>
      </c>
      <c r="T50" s="5" t="str">
        <f aca="false">IF(ABS(ROUND(K50+L50+IF(M50="",0,M50),2)-N50)&lt;=0.011,"OK","CHECK")</f>
        <v>OK</v>
      </c>
      <c r="U50" s="5" t="str">
        <f aca="false">IF(ABS(ROUND(N50*0.25,2)-O50)&lt;=0.07,"OK","CHECK")</f>
        <v>OK</v>
      </c>
      <c r="V50" s="5" t="str">
        <f aca="false">IF(ABS(N50+O50-P50)&lt;=0.011,"OK","CHECK")</f>
        <v>OK</v>
      </c>
    </row>
    <row r="51" customFormat="false" ht="15" hidden="false" customHeight="true" outlineLevel="0" collapsed="false">
      <c r="A51" s="5" t="s">
        <v>146</v>
      </c>
      <c r="B51" s="5" t="s">
        <v>64</v>
      </c>
      <c r="C51" s="5" t="s">
        <v>147</v>
      </c>
      <c r="D51" s="5" t="s">
        <v>148</v>
      </c>
      <c r="E51" s="5" t="s">
        <v>72</v>
      </c>
      <c r="F51" s="5" t="s">
        <v>8</v>
      </c>
      <c r="G51" s="5" t="s">
        <v>73</v>
      </c>
      <c r="H51" s="11" t="n">
        <v>390.07</v>
      </c>
      <c r="I51" s="7" t="n">
        <v>21.07</v>
      </c>
      <c r="J51" s="7" t="n">
        <v>16.856</v>
      </c>
      <c r="K51" s="6" t="n">
        <v>6575.02</v>
      </c>
      <c r="L51" s="6" t="n">
        <v>-507.09</v>
      </c>
      <c r="M51" s="6"/>
      <c r="N51" s="6" t="n">
        <v>6067.93</v>
      </c>
      <c r="O51" s="6" t="n">
        <v>1516.98</v>
      </c>
      <c r="P51" s="6" t="n">
        <v>7584.91</v>
      </c>
      <c r="Q51" s="6" t="n">
        <v>698.8</v>
      </c>
      <c r="R51" s="7" t="n">
        <f aca="false">IF(G51="parking","",(K51+L51)/H51)</f>
        <v>15.5560027687338</v>
      </c>
      <c r="S51" s="5" t="str">
        <f aca="false">IF(ABS(ROUND(H51*J51,2)-K51)&lt;=0.02,"OK","CHECK")</f>
        <v>OK</v>
      </c>
      <c r="T51" s="5" t="str">
        <f aca="false">IF(ABS(ROUND(K51+L51+IF(M51="",0,M51),2)-N51)&lt;=0.011,"OK","CHECK")</f>
        <v>OK</v>
      </c>
      <c r="U51" s="5" t="str">
        <f aca="false">IF(ABS(ROUND(N51*0.25,2)-O51)&lt;=0.07,"OK","CHECK")</f>
        <v>OK</v>
      </c>
      <c r="V51" s="5" t="str">
        <f aca="false">IF(ABS(N51+O51-P51)&lt;=0.011,"OK","CHECK")</f>
        <v>OK</v>
      </c>
    </row>
    <row r="52" customFormat="false" ht="15" hidden="false" customHeight="true" outlineLevel="0" collapsed="false">
      <c r="A52" s="5" t="s">
        <v>146</v>
      </c>
      <c r="B52" s="5" t="s">
        <v>64</v>
      </c>
      <c r="C52" s="5" t="s">
        <v>147</v>
      </c>
      <c r="D52" s="5" t="s">
        <v>149</v>
      </c>
      <c r="E52" s="5" t="s">
        <v>72</v>
      </c>
      <c r="F52" s="5" t="s">
        <v>8</v>
      </c>
      <c r="G52" s="5" t="s">
        <v>73</v>
      </c>
      <c r="H52" s="11" t="n">
        <v>310</v>
      </c>
      <c r="I52" s="7" t="n">
        <v>21.07</v>
      </c>
      <c r="J52" s="7" t="n">
        <v>16.856</v>
      </c>
      <c r="K52" s="6" t="n">
        <v>5225.36</v>
      </c>
      <c r="L52" s="6" t="n">
        <v>-403</v>
      </c>
      <c r="M52" s="6"/>
      <c r="N52" s="6" t="n">
        <v>4822.36</v>
      </c>
      <c r="O52" s="6" t="n">
        <v>1205.59</v>
      </c>
      <c r="P52" s="6" t="n">
        <v>6027.95</v>
      </c>
      <c r="Q52" s="6" t="n">
        <v>555.36</v>
      </c>
      <c r="R52" s="7" t="n">
        <f aca="false">IF(G52="parking","",(K52+L52)/H52)</f>
        <v>15.556</v>
      </c>
      <c r="S52" s="5" t="str">
        <f aca="false">IF(ABS(ROUND(H52*J52,2)-K52)&lt;=0.02,"OK","CHECK")</f>
        <v>OK</v>
      </c>
      <c r="T52" s="5" t="str">
        <f aca="false">IF(ABS(ROUND(K52+L52+IF(M52="",0,M52),2)-N52)&lt;=0.011,"OK","CHECK")</f>
        <v>OK</v>
      </c>
      <c r="U52" s="5" t="str">
        <f aca="false">IF(ABS(ROUND(N52*0.25,2)-O52)&lt;=0.07,"OK","CHECK")</f>
        <v>OK</v>
      </c>
      <c r="V52" s="5" t="str">
        <f aca="false">IF(ABS(N52+O52-P52)&lt;=0.011,"OK","CHECK")</f>
        <v>OK</v>
      </c>
    </row>
    <row r="53" customFormat="false" ht="15" hidden="false" customHeight="true" outlineLevel="0" collapsed="false">
      <c r="A53" s="5" t="s">
        <v>146</v>
      </c>
      <c r="B53" s="5" t="s">
        <v>64</v>
      </c>
      <c r="C53" s="5" t="s">
        <v>147</v>
      </c>
      <c r="D53" s="5" t="s">
        <v>150</v>
      </c>
      <c r="E53" s="5" t="s">
        <v>72</v>
      </c>
      <c r="F53" s="5" t="s">
        <v>8</v>
      </c>
      <c r="G53" s="5" t="s">
        <v>83</v>
      </c>
      <c r="H53" s="11" t="n">
        <v>30.47</v>
      </c>
      <c r="I53" s="7" t="n">
        <v>9.8901</v>
      </c>
      <c r="J53" s="7" t="n">
        <v>7.912</v>
      </c>
      <c r="K53" s="6" t="n">
        <v>241.08</v>
      </c>
      <c r="L53" s="6" t="n">
        <v>-37.17</v>
      </c>
      <c r="M53" s="6"/>
      <c r="N53" s="6" t="n">
        <v>203.91</v>
      </c>
      <c r="O53" s="6" t="n">
        <v>50.98</v>
      </c>
      <c r="P53" s="6" t="n">
        <v>254.89</v>
      </c>
      <c r="Q53" s="6" t="n">
        <v>23.48</v>
      </c>
      <c r="R53" s="7" t="n">
        <f aca="false">IF(G53="parking","",(K53+L53)/H53)</f>
        <v>6.69215621923203</v>
      </c>
      <c r="S53" s="5" t="str">
        <f aca="false">IF(ABS(ROUND(H53*J53,2)-K53)&lt;=0.02,"OK","CHECK")</f>
        <v>OK</v>
      </c>
      <c r="T53" s="5" t="str">
        <f aca="false">IF(ABS(ROUND(K53+L53+IF(M53="",0,M53),2)-N53)&lt;=0.011,"OK","CHECK")</f>
        <v>OK</v>
      </c>
      <c r="U53" s="5" t="str">
        <f aca="false">IF(ABS(ROUND(N53*0.25,2)-O53)&lt;=0.07,"OK","CHECK")</f>
        <v>OK</v>
      </c>
      <c r="V53" s="5" t="str">
        <f aca="false">IF(ABS(N53+O53-P53)&lt;=0.011,"OK","CHECK")</f>
        <v>OK</v>
      </c>
    </row>
    <row r="54" customFormat="false" ht="15" hidden="false" customHeight="true" outlineLevel="0" collapsed="false">
      <c r="A54" s="5" t="s">
        <v>146</v>
      </c>
      <c r="B54" s="5" t="s">
        <v>151</v>
      </c>
      <c r="C54" s="5" t="s">
        <v>152</v>
      </c>
      <c r="D54" s="5" t="s">
        <v>153</v>
      </c>
      <c r="E54" s="5" t="s">
        <v>72</v>
      </c>
      <c r="F54" s="5" t="s">
        <v>8</v>
      </c>
      <c r="G54" s="5" t="s">
        <v>73</v>
      </c>
      <c r="H54" s="11" t="n">
        <v>320.01</v>
      </c>
      <c r="I54" s="7" t="n">
        <v>21.07</v>
      </c>
      <c r="J54" s="7" t="n">
        <v>16.856</v>
      </c>
      <c r="K54" s="6" t="n">
        <v>5394.09</v>
      </c>
      <c r="L54" s="6" t="n">
        <v>-416.01</v>
      </c>
      <c r="M54" s="6"/>
      <c r="N54" s="6" t="n">
        <v>4978.08</v>
      </c>
      <c r="O54" s="6" t="n">
        <v>1244.52</v>
      </c>
      <c r="P54" s="6" t="n">
        <v>6222.6</v>
      </c>
      <c r="Q54" s="6" t="n">
        <v>569.4</v>
      </c>
      <c r="R54" s="7" t="n">
        <f aca="false">IF(G54="parking","",(K54+L54)/H54)</f>
        <v>15.5560138745664</v>
      </c>
      <c r="S54" s="5" t="str">
        <f aca="false">IF(ABS(ROUND(H54*J54,2)-K54)&lt;=0.02,"OK","CHECK")</f>
        <v>OK</v>
      </c>
      <c r="T54" s="5" t="str">
        <f aca="false">IF(ABS(ROUND(K54+L54+IF(M54="",0,M54),2)-N54)&lt;=0.011,"OK","CHECK")</f>
        <v>OK</v>
      </c>
      <c r="U54" s="5" t="str">
        <f aca="false">IF(ABS(ROUND(N54*0.25,2)-O54)&lt;=0.07,"OK","CHECK")</f>
        <v>OK</v>
      </c>
      <c r="V54" s="5" t="str">
        <f aca="false">IF(ABS(N54+O54-P54)&lt;=0.011,"OK","CHECK")</f>
        <v>OK</v>
      </c>
    </row>
    <row r="55" customFormat="false" ht="15" hidden="false" customHeight="true" outlineLevel="0" collapsed="false">
      <c r="A55" s="5" t="s">
        <v>146</v>
      </c>
      <c r="B55" s="5" t="s">
        <v>151</v>
      </c>
      <c r="C55" s="5" t="s">
        <v>152</v>
      </c>
      <c r="D55" s="5" t="s">
        <v>154</v>
      </c>
      <c r="E55" s="5" t="s">
        <v>72</v>
      </c>
      <c r="F55" s="5" t="s">
        <v>8</v>
      </c>
      <c r="G55" s="5" t="s">
        <v>83</v>
      </c>
      <c r="H55" s="11" t="n">
        <v>23</v>
      </c>
      <c r="I55" s="7" t="n">
        <v>9.89</v>
      </c>
      <c r="J55" s="7" t="n">
        <v>7.9122</v>
      </c>
      <c r="K55" s="6" t="n">
        <v>181.98</v>
      </c>
      <c r="L55" s="6" t="n">
        <v>-28.06</v>
      </c>
      <c r="M55" s="6"/>
      <c r="N55" s="6" t="n">
        <v>153.92</v>
      </c>
      <c r="O55" s="6" t="n">
        <v>38.48</v>
      </c>
      <c r="P55" s="6" t="n">
        <v>192.4</v>
      </c>
      <c r="Q55" s="6" t="n">
        <v>17.61</v>
      </c>
      <c r="R55" s="7" t="n">
        <f aca="false">IF(G55="parking","",(K55+L55)/H55)</f>
        <v>6.69217391304348</v>
      </c>
      <c r="S55" s="5" t="str">
        <f aca="false">IF(ABS(ROUND(H55*J55,2)-K55)&lt;=0.02,"OK","CHECK")</f>
        <v>OK</v>
      </c>
      <c r="T55" s="5" t="str">
        <f aca="false">IF(ABS(ROUND(K55+L55+IF(M55="",0,M55),2)-N55)&lt;=0.011,"OK","CHECK")</f>
        <v>OK</v>
      </c>
      <c r="U55" s="5" t="str">
        <f aca="false">IF(ABS(ROUND(N55*0.25,2)-O55)&lt;=0.07,"OK","CHECK")</f>
        <v>OK</v>
      </c>
      <c r="V55" s="5" t="str">
        <f aca="false">IF(ABS(N55+O55-P55)&lt;=0.011,"OK","CHECK")</f>
        <v>OK</v>
      </c>
    </row>
    <row r="56" customFormat="false" ht="15" hidden="false" customHeight="true" outlineLevel="0" collapsed="false">
      <c r="A56" s="5" t="s">
        <v>146</v>
      </c>
      <c r="B56" s="5" t="s">
        <v>151</v>
      </c>
      <c r="C56" s="5" t="s">
        <v>152</v>
      </c>
      <c r="D56" s="5" t="s">
        <v>155</v>
      </c>
      <c r="E56" s="5" t="s">
        <v>72</v>
      </c>
      <c r="F56" s="5" t="s">
        <v>8</v>
      </c>
      <c r="G56" s="5" t="s">
        <v>73</v>
      </c>
      <c r="H56" s="11" t="n">
        <v>121</v>
      </c>
      <c r="I56" s="7" t="n">
        <v>21.07</v>
      </c>
      <c r="J56" s="7" t="n">
        <v>16.856</v>
      </c>
      <c r="K56" s="6" t="n">
        <v>2039.58</v>
      </c>
      <c r="L56" s="6" t="n">
        <v>-157.3</v>
      </c>
      <c r="M56" s="6"/>
      <c r="N56" s="6" t="n">
        <v>1882.28</v>
      </c>
      <c r="O56" s="6" t="n">
        <v>470.57</v>
      </c>
      <c r="P56" s="6" t="n">
        <v>2352.85</v>
      </c>
      <c r="Q56" s="6" t="n">
        <v>215.3</v>
      </c>
      <c r="R56" s="7" t="n">
        <f aca="false">IF(G56="parking","",(K56+L56)/H56)</f>
        <v>15.5560330578512</v>
      </c>
      <c r="S56" s="5" t="str">
        <f aca="false">IF(ABS(ROUND(H56*J56,2)-K56)&lt;=0.02,"OK","CHECK")</f>
        <v>OK</v>
      </c>
      <c r="T56" s="5" t="str">
        <f aca="false">IF(ABS(ROUND(K56+L56+IF(M56="",0,M56),2)-N56)&lt;=0.011,"OK","CHECK")</f>
        <v>OK</v>
      </c>
      <c r="U56" s="5" t="str">
        <f aca="false">IF(ABS(ROUND(N56*0.25,2)-O56)&lt;=0.07,"OK","CHECK")</f>
        <v>OK</v>
      </c>
      <c r="V56" s="5" t="str">
        <f aca="false">IF(ABS(N56+O56-P56)&lt;=0.011,"OK","CHECK")</f>
        <v>OK</v>
      </c>
    </row>
    <row r="57" customFormat="false" ht="15" hidden="false" customHeight="true" outlineLevel="0" collapsed="false">
      <c r="A57" s="5" t="s">
        <v>146</v>
      </c>
      <c r="B57" s="5" t="s">
        <v>151</v>
      </c>
      <c r="C57" s="5" t="s">
        <v>156</v>
      </c>
      <c r="D57" s="5" t="s">
        <v>157</v>
      </c>
      <c r="E57" s="5" t="s">
        <v>72</v>
      </c>
      <c r="F57" s="5" t="s">
        <v>9</v>
      </c>
      <c r="G57" s="5" t="s">
        <v>73</v>
      </c>
      <c r="H57" s="11" t="n">
        <v>423.82</v>
      </c>
      <c r="I57" s="7" t="n">
        <v>21.07</v>
      </c>
      <c r="J57" s="7" t="n">
        <v>16.856</v>
      </c>
      <c r="K57" s="6" t="n">
        <v>7143.91</v>
      </c>
      <c r="L57" s="6" t="n">
        <v>-550.97</v>
      </c>
      <c r="M57" s="6"/>
      <c r="N57" s="6" t="n">
        <v>6592.94</v>
      </c>
      <c r="O57" s="6" t="n">
        <v>1648.24</v>
      </c>
      <c r="P57" s="6" t="n">
        <v>8241.18</v>
      </c>
      <c r="Q57" s="6" t="n">
        <v>760.74</v>
      </c>
      <c r="R57" s="7" t="n">
        <f aca="false">IF(G57="parking","",(K57+L57)/H57)</f>
        <v>15.5559907507904</v>
      </c>
      <c r="S57" s="5" t="str">
        <f aca="false">IF(ABS(ROUND(H57*J57,2)-K57)&lt;=0.02,"OK","CHECK")</f>
        <v>OK</v>
      </c>
      <c r="T57" s="5" t="str">
        <f aca="false">IF(ABS(ROUND(K57+L57+IF(M57="",0,M57),2)-N57)&lt;=0.011,"OK","CHECK")</f>
        <v>OK</v>
      </c>
      <c r="U57" s="5" t="str">
        <f aca="false">IF(ABS(ROUND(N57*0.25,2)-O57)&lt;=0.07,"OK","CHECK")</f>
        <v>OK</v>
      </c>
      <c r="V57" s="5" t="str">
        <f aca="false">IF(ABS(N57+O57-P57)&lt;=0.011,"OK","CHECK")</f>
        <v>OK</v>
      </c>
    </row>
    <row r="58" customFormat="false" ht="15" hidden="false" customHeight="true" outlineLevel="0" collapsed="false">
      <c r="A58" s="5" t="s">
        <v>146</v>
      </c>
      <c r="B58" s="5" t="s">
        <v>151</v>
      </c>
      <c r="C58" s="5" t="s">
        <v>156</v>
      </c>
      <c r="D58" s="5" t="s">
        <v>158</v>
      </c>
      <c r="E58" s="5" t="s">
        <v>72</v>
      </c>
      <c r="F58" s="5" t="s">
        <v>9</v>
      </c>
      <c r="G58" s="5" t="s">
        <v>73</v>
      </c>
      <c r="H58" s="11" t="n">
        <v>87</v>
      </c>
      <c r="I58" s="7" t="n">
        <v>21.07</v>
      </c>
      <c r="J58" s="7" t="n">
        <v>16.856</v>
      </c>
      <c r="K58" s="6" t="n">
        <v>1466.47</v>
      </c>
      <c r="L58" s="6" t="n">
        <v>-113.1</v>
      </c>
      <c r="M58" s="6"/>
      <c r="N58" s="6" t="n">
        <v>1353.37</v>
      </c>
      <c r="O58" s="6" t="n">
        <v>338.34</v>
      </c>
      <c r="P58" s="6" t="n">
        <v>1691.71</v>
      </c>
      <c r="Q58" s="6" t="n">
        <v>156.16</v>
      </c>
      <c r="R58" s="7" t="n">
        <f aca="false">IF(G58="parking","",(K58+L58)/H58)</f>
        <v>15.5559770114943</v>
      </c>
      <c r="S58" s="5" t="str">
        <f aca="false">IF(ABS(ROUND(H58*J58,2)-K58)&lt;=0.02,"OK","CHECK")</f>
        <v>OK</v>
      </c>
      <c r="T58" s="5" t="str">
        <f aca="false">IF(ABS(ROUND(K58+L58+IF(M58="",0,M58),2)-N58)&lt;=0.011,"OK","CHECK")</f>
        <v>OK</v>
      </c>
      <c r="U58" s="5" t="str">
        <f aca="false">IF(ABS(ROUND(N58*0.25,2)-O58)&lt;=0.07,"OK","CHECK")</f>
        <v>OK</v>
      </c>
      <c r="V58" s="5" t="str">
        <f aca="false">IF(ABS(N58+O58-P58)&lt;=0.011,"OK","CHECK")</f>
        <v>OK</v>
      </c>
    </row>
    <row r="59" customFormat="false" ht="15" hidden="false" customHeight="true" outlineLevel="0" collapsed="false">
      <c r="A59" s="5" t="s">
        <v>146</v>
      </c>
      <c r="B59" s="5" t="s">
        <v>151</v>
      </c>
      <c r="C59" s="5" t="s">
        <v>156</v>
      </c>
      <c r="D59" s="5" t="s">
        <v>159</v>
      </c>
      <c r="E59" s="5" t="s">
        <v>72</v>
      </c>
      <c r="F59" s="5" t="s">
        <v>9</v>
      </c>
      <c r="G59" s="5" t="s">
        <v>83</v>
      </c>
      <c r="H59" s="11" t="n">
        <v>54.36</v>
      </c>
      <c r="I59" s="7" t="n">
        <v>9.89</v>
      </c>
      <c r="J59" s="7" t="n">
        <v>7.9121</v>
      </c>
      <c r="K59" s="6" t="n">
        <v>430.1</v>
      </c>
      <c r="L59" s="6" t="n">
        <v>-66.32</v>
      </c>
      <c r="M59" s="6"/>
      <c r="N59" s="6" t="n">
        <v>363.78</v>
      </c>
      <c r="O59" s="6" t="n">
        <v>90.95</v>
      </c>
      <c r="P59" s="6" t="n">
        <v>454.73</v>
      </c>
      <c r="Q59" s="6" t="n">
        <v>41.98</v>
      </c>
      <c r="R59" s="7" t="n">
        <f aca="false">IF(G59="parking","",(K59+L59)/H59)</f>
        <v>6.69205298013245</v>
      </c>
      <c r="S59" s="5" t="str">
        <f aca="false">IF(ABS(ROUND(H59*J59,2)-K59)&lt;=0.02,"OK","CHECK")</f>
        <v>OK</v>
      </c>
      <c r="T59" s="5" t="str">
        <f aca="false">IF(ABS(ROUND(K59+L59+IF(M59="",0,M59),2)-N59)&lt;=0.011,"OK","CHECK")</f>
        <v>OK</v>
      </c>
      <c r="U59" s="5" t="str">
        <f aca="false">IF(ABS(ROUND(N59*0.25,2)-O59)&lt;=0.07,"OK","CHECK")</f>
        <v>OK</v>
      </c>
      <c r="V59" s="5" t="str">
        <f aca="false">IF(ABS(N59+O59-P59)&lt;=0.011,"OK","CHECK")</f>
        <v>OK</v>
      </c>
    </row>
    <row r="60" customFormat="false" ht="15" hidden="false" customHeight="true" outlineLevel="0" collapsed="false">
      <c r="A60" s="5" t="s">
        <v>146</v>
      </c>
      <c r="B60" s="5" t="s">
        <v>151</v>
      </c>
      <c r="C60" s="5" t="s">
        <v>160</v>
      </c>
      <c r="D60" s="5" t="s">
        <v>161</v>
      </c>
      <c r="E60" s="5" t="s">
        <v>72</v>
      </c>
      <c r="F60" s="5" t="s">
        <v>15</v>
      </c>
      <c r="G60" s="5" t="s">
        <v>73</v>
      </c>
      <c r="H60" s="11" t="n">
        <v>511</v>
      </c>
      <c r="I60" s="7" t="n">
        <v>21.45</v>
      </c>
      <c r="J60" s="7" t="n">
        <v>17.16</v>
      </c>
      <c r="K60" s="6" t="n">
        <v>8768.76</v>
      </c>
      <c r="L60" s="6" t="n">
        <v>-664.3</v>
      </c>
      <c r="M60" s="6"/>
      <c r="N60" s="6" t="n">
        <v>8104.46</v>
      </c>
      <c r="O60" s="6" t="n">
        <v>2026.06</v>
      </c>
      <c r="P60" s="6" t="n">
        <v>10130.52</v>
      </c>
      <c r="Q60" s="6" t="n">
        <v>944.17</v>
      </c>
      <c r="R60" s="7" t="n">
        <f aca="false">IF(G60="parking","",(K60+L60)/H60)</f>
        <v>15.86</v>
      </c>
      <c r="S60" s="5" t="str">
        <f aca="false">IF(ABS(ROUND(H60*J60,2)-K60)&lt;=0.02,"OK","CHECK")</f>
        <v>OK</v>
      </c>
      <c r="T60" s="5" t="str">
        <f aca="false">IF(ABS(ROUND(K60+L60+IF(M60="",0,M60),2)-N60)&lt;=0.011,"OK","CHECK")</f>
        <v>OK</v>
      </c>
      <c r="U60" s="5" t="str">
        <f aca="false">IF(ABS(ROUND(N60*0.25,2)-O60)&lt;=0.07,"OK","CHECK")</f>
        <v>OK</v>
      </c>
      <c r="V60" s="5" t="str">
        <f aca="false">IF(ABS(N60+O60-P60)&lt;=0.011,"OK","CHECK")</f>
        <v>OK</v>
      </c>
    </row>
    <row r="61" customFormat="false" ht="15" hidden="false" customHeight="true" outlineLevel="0" collapsed="false">
      <c r="A61" s="5" t="s">
        <v>146</v>
      </c>
      <c r="B61" s="5" t="s">
        <v>151</v>
      </c>
      <c r="C61" s="5" t="s">
        <v>160</v>
      </c>
      <c r="D61" s="5" t="s">
        <v>162</v>
      </c>
      <c r="E61" s="5" t="s">
        <v>72</v>
      </c>
      <c r="F61" s="5" t="s">
        <v>15</v>
      </c>
      <c r="G61" s="5" t="s">
        <v>83</v>
      </c>
      <c r="H61" s="11" t="n">
        <v>43</v>
      </c>
      <c r="I61" s="7" t="n">
        <v>9.89</v>
      </c>
      <c r="J61" s="7" t="n">
        <v>7.9121</v>
      </c>
      <c r="K61" s="6" t="n">
        <v>340.22</v>
      </c>
      <c r="L61" s="6" t="n">
        <v>-52.46</v>
      </c>
      <c r="M61" s="6"/>
      <c r="N61" s="6" t="n">
        <v>287.76</v>
      </c>
      <c r="O61" s="6" t="n">
        <v>71.94</v>
      </c>
      <c r="P61" s="6" t="n">
        <v>359.7</v>
      </c>
      <c r="Q61" s="6" t="n">
        <v>33.52</v>
      </c>
      <c r="R61" s="7" t="n">
        <f aca="false">IF(G61="parking","",(K61+L61)/H61)</f>
        <v>6.69209302325582</v>
      </c>
      <c r="S61" s="5" t="str">
        <f aca="false">IF(ABS(ROUND(H61*J61,2)-K61)&lt;=0.02,"OK","CHECK")</f>
        <v>OK</v>
      </c>
      <c r="T61" s="5" t="str">
        <f aca="false">IF(ABS(ROUND(K61+L61+IF(M61="",0,M61),2)-N61)&lt;=0.011,"OK","CHECK")</f>
        <v>OK</v>
      </c>
      <c r="U61" s="5" t="str">
        <f aca="false">IF(ABS(ROUND(N61*0.25,2)-O61)&lt;=0.07,"OK","CHECK")</f>
        <v>OK</v>
      </c>
      <c r="V61" s="5" t="str">
        <f aca="false">IF(ABS(N61+O61-P61)&lt;=0.011,"OK","CHECK")</f>
        <v>OK</v>
      </c>
    </row>
    <row r="62" customFormat="false" ht="15" hidden="false" customHeight="true" outlineLevel="0" collapsed="false">
      <c r="A62" s="5" t="s">
        <v>146</v>
      </c>
      <c r="B62" s="5" t="s">
        <v>151</v>
      </c>
      <c r="C62" s="5" t="s">
        <v>160</v>
      </c>
      <c r="D62" s="5" t="s">
        <v>163</v>
      </c>
      <c r="E62" s="5" t="s">
        <v>72</v>
      </c>
      <c r="F62" s="5" t="s">
        <v>15</v>
      </c>
      <c r="G62" s="5" t="s">
        <v>164</v>
      </c>
      <c r="H62" s="11" t="n">
        <v>251</v>
      </c>
      <c r="I62" s="7" t="n">
        <v>29.8</v>
      </c>
      <c r="J62" s="7" t="n">
        <v>23.84</v>
      </c>
      <c r="K62" s="6" t="n">
        <v>5983.84</v>
      </c>
      <c r="L62" s="6" t="n">
        <v>-326.3</v>
      </c>
      <c r="M62" s="6" t="n">
        <v>74.8</v>
      </c>
      <c r="N62" s="6" t="n">
        <v>5732.34</v>
      </c>
      <c r="O62" s="6" t="n">
        <v>1433.09</v>
      </c>
      <c r="P62" s="6" t="n">
        <v>7165.43</v>
      </c>
      <c r="Q62" s="6" t="n">
        <v>667.82</v>
      </c>
      <c r="R62" s="7" t="n">
        <f aca="false">IF(G62="parking","",(K62+L62)/H62)</f>
        <v>22.54</v>
      </c>
      <c r="S62" s="5" t="str">
        <f aca="false">IF(ABS(ROUND(H62*J62,2)-K62)&lt;=0.02,"OK","CHECK")</f>
        <v>OK</v>
      </c>
      <c r="T62" s="5" t="str">
        <f aca="false">IF(ABS(ROUND(K62+L62+IF(M62="",0,M62),2)-N62)&lt;=0.011,"OK","CHECK")</f>
        <v>OK</v>
      </c>
      <c r="U62" s="5" t="str">
        <f aca="false">IF(ABS(ROUND(N62*0.25,2)-O62)&lt;=0.07,"OK","CHECK")</f>
        <v>OK</v>
      </c>
      <c r="V62" s="5" t="str">
        <f aca="false">IF(ABS(N62+O62-P62)&lt;=0.011,"OK","CHECK")</f>
        <v>OK</v>
      </c>
    </row>
    <row r="63" customFormat="false" ht="15" hidden="false" customHeight="true" outlineLevel="0" collapsed="false">
      <c r="A63" s="5" t="s">
        <v>146</v>
      </c>
      <c r="B63" s="5" t="s">
        <v>165</v>
      </c>
      <c r="C63" s="5" t="s">
        <v>160</v>
      </c>
      <c r="D63" s="5" t="s">
        <v>166</v>
      </c>
      <c r="E63" s="5" t="s">
        <v>72</v>
      </c>
      <c r="F63" s="5" t="s">
        <v>22</v>
      </c>
      <c r="G63" s="5" t="s">
        <v>73</v>
      </c>
      <c r="H63" s="11" t="n">
        <v>350</v>
      </c>
      <c r="I63" s="7" t="n">
        <v>21.45</v>
      </c>
      <c r="J63" s="7" t="n">
        <v>17.16</v>
      </c>
      <c r="K63" s="6" t="n">
        <v>6006</v>
      </c>
      <c r="L63" s="6" t="n">
        <v>-455</v>
      </c>
      <c r="M63" s="6"/>
      <c r="N63" s="6" t="n">
        <v>5551</v>
      </c>
      <c r="O63" s="6" t="n">
        <v>1387.75</v>
      </c>
      <c r="P63" s="6" t="n">
        <v>6938.75</v>
      </c>
      <c r="Q63" s="6" t="n">
        <v>646.7</v>
      </c>
      <c r="R63" s="7" t="n">
        <f aca="false">IF(G63="parking","",(K63+L63)/H63)</f>
        <v>15.86</v>
      </c>
      <c r="S63" s="5" t="str">
        <f aca="false">IF(ABS(ROUND(H63*J63,2)-K63)&lt;=0.02,"OK","CHECK")</f>
        <v>OK</v>
      </c>
      <c r="T63" s="5" t="str">
        <f aca="false">IF(ABS(ROUND(K63+L63+IF(M63="",0,M63),2)-N63)&lt;=0.011,"OK","CHECK")</f>
        <v>OK</v>
      </c>
      <c r="U63" s="5" t="str">
        <f aca="false">IF(ABS(ROUND(N63*0.25,2)-O63)&lt;=0.07,"OK","CHECK")</f>
        <v>OK</v>
      </c>
      <c r="V63" s="5" t="str">
        <f aca="false">IF(ABS(N63+O63-P63)&lt;=0.011,"OK","CHECK")</f>
        <v>OK</v>
      </c>
    </row>
    <row r="64" customFormat="false" ht="15" hidden="false" customHeight="true" outlineLevel="0" collapsed="false">
      <c r="A64" s="5" t="s">
        <v>146</v>
      </c>
      <c r="B64" s="5" t="s">
        <v>108</v>
      </c>
      <c r="C64" s="5" t="s">
        <v>152</v>
      </c>
      <c r="D64" s="5" t="s">
        <v>167</v>
      </c>
      <c r="E64" s="5" t="s">
        <v>72</v>
      </c>
      <c r="F64" s="5" t="s">
        <v>8</v>
      </c>
      <c r="G64" s="5" t="s">
        <v>73</v>
      </c>
      <c r="H64" s="11" t="n">
        <v>440</v>
      </c>
      <c r="I64" s="7" t="n">
        <v>21.07</v>
      </c>
      <c r="J64" s="7" t="n">
        <v>16.856</v>
      </c>
      <c r="K64" s="6" t="n">
        <v>7416.64</v>
      </c>
      <c r="L64" s="6" t="n">
        <v>-572</v>
      </c>
      <c r="M64" s="6"/>
      <c r="N64" s="6" t="n">
        <v>6844.64</v>
      </c>
      <c r="O64" s="6" t="n">
        <v>1711.16</v>
      </c>
      <c r="P64" s="6" t="n">
        <v>8555.8</v>
      </c>
      <c r="Q64" s="6" t="n">
        <v>782.9</v>
      </c>
      <c r="R64" s="7" t="n">
        <f aca="false">IF(G64="parking","",(K64+L64)/H64)</f>
        <v>15.556</v>
      </c>
      <c r="S64" s="5" t="str">
        <f aca="false">IF(ABS(ROUND(H64*J64,2)-K64)&lt;=0.02,"OK","CHECK")</f>
        <v>OK</v>
      </c>
      <c r="T64" s="5" t="str">
        <f aca="false">IF(ABS(ROUND(K64+L64+IF(M64="",0,M64),2)-N64)&lt;=0.011,"OK","CHECK")</f>
        <v>OK</v>
      </c>
      <c r="U64" s="5" t="str">
        <f aca="false">IF(ABS(ROUND(N64*0.25,2)-O64)&lt;=0.07,"OK","CHECK")</f>
        <v>OK</v>
      </c>
      <c r="V64" s="5" t="str">
        <f aca="false">IF(ABS(N64+O64-P64)&lt;=0.011,"OK","CHECK")</f>
        <v>OK</v>
      </c>
    </row>
    <row r="65" customFormat="false" ht="15" hidden="false" customHeight="true" outlineLevel="0" collapsed="false">
      <c r="A65" s="5" t="s">
        <v>146</v>
      </c>
      <c r="B65" s="5" t="s">
        <v>108</v>
      </c>
      <c r="C65" s="5" t="s">
        <v>152</v>
      </c>
      <c r="D65" s="5" t="s">
        <v>168</v>
      </c>
      <c r="E65" s="5" t="s">
        <v>72</v>
      </c>
      <c r="F65" s="5" t="s">
        <v>8</v>
      </c>
      <c r="G65" s="5" t="s">
        <v>73</v>
      </c>
      <c r="H65" s="11" t="n">
        <v>250.04</v>
      </c>
      <c r="I65" s="7" t="n">
        <v>21.07</v>
      </c>
      <c r="J65" s="7" t="n">
        <v>16.856</v>
      </c>
      <c r="K65" s="6" t="n">
        <v>4214.67</v>
      </c>
      <c r="L65" s="6" t="n">
        <v>-325.05</v>
      </c>
      <c r="M65" s="6"/>
      <c r="N65" s="6" t="n">
        <v>3889.62</v>
      </c>
      <c r="O65" s="6" t="n">
        <v>972.41</v>
      </c>
      <c r="P65" s="6" t="n">
        <v>4862.03</v>
      </c>
      <c r="Q65" s="6" t="n">
        <v>444.9</v>
      </c>
      <c r="R65" s="7" t="n">
        <f aca="false">IF(G65="parking","",(K65+L65)/H65)</f>
        <v>15.5559910414334</v>
      </c>
      <c r="S65" s="5" t="str">
        <f aca="false">IF(ABS(ROUND(H65*J65,2)-K65)&lt;=0.02,"OK","CHECK")</f>
        <v>OK</v>
      </c>
      <c r="T65" s="5" t="str">
        <f aca="false">IF(ABS(ROUND(K65+L65+IF(M65="",0,M65),2)-N65)&lt;=0.011,"OK","CHECK")</f>
        <v>OK</v>
      </c>
      <c r="U65" s="5" t="str">
        <f aca="false">IF(ABS(ROUND(N65*0.25,2)-O65)&lt;=0.07,"OK","CHECK")</f>
        <v>OK</v>
      </c>
      <c r="V65" s="5" t="str">
        <f aca="false">IF(ABS(N65+O65-P65)&lt;=0.011,"OK","CHECK")</f>
        <v>OK</v>
      </c>
    </row>
    <row r="66" customFormat="false" ht="15" hidden="false" customHeight="true" outlineLevel="0" collapsed="false">
      <c r="A66" s="5" t="s">
        <v>146</v>
      </c>
      <c r="B66" s="5" t="s">
        <v>108</v>
      </c>
      <c r="C66" s="5" t="s">
        <v>152</v>
      </c>
      <c r="D66" s="5" t="s">
        <v>169</v>
      </c>
      <c r="E66" s="5" t="s">
        <v>72</v>
      </c>
      <c r="F66" s="5" t="s">
        <v>8</v>
      </c>
      <c r="G66" s="5" t="s">
        <v>83</v>
      </c>
      <c r="H66" s="11" t="n">
        <v>47.41</v>
      </c>
      <c r="I66" s="7" t="n">
        <v>9.8899</v>
      </c>
      <c r="J66" s="7" t="n">
        <v>7.9118</v>
      </c>
      <c r="K66" s="6" t="n">
        <v>375.1</v>
      </c>
      <c r="L66" s="6" t="n">
        <v>-57.84</v>
      </c>
      <c r="M66" s="6"/>
      <c r="N66" s="6" t="n">
        <v>317.26</v>
      </c>
      <c r="O66" s="6" t="n">
        <v>79.32</v>
      </c>
      <c r="P66" s="6" t="n">
        <v>396.58</v>
      </c>
      <c r="Q66" s="6" t="n">
        <v>36.28</v>
      </c>
      <c r="R66" s="7" t="n">
        <f aca="false">IF(G66="parking","",(K66+L66)/H66)</f>
        <v>6.69183716515503</v>
      </c>
      <c r="S66" s="5" t="str">
        <f aca="false">IF(ABS(ROUND(H66*J66,2)-K66)&lt;=0.02,"OK","CHECK")</f>
        <v>OK</v>
      </c>
      <c r="T66" s="5" t="str">
        <f aca="false">IF(ABS(ROUND(K66+L66+IF(M66="",0,M66),2)-N66)&lt;=0.011,"OK","CHECK")</f>
        <v>OK</v>
      </c>
      <c r="U66" s="5" t="str">
        <f aca="false">IF(ABS(ROUND(N66*0.25,2)-O66)&lt;=0.07,"OK","CHECK")</f>
        <v>OK</v>
      </c>
      <c r="V66" s="5" t="str">
        <f aca="false">IF(ABS(N66+O66-P66)&lt;=0.011,"OK","CHECK")</f>
        <v>OK</v>
      </c>
    </row>
    <row r="67" customFormat="false" ht="15" hidden="false" customHeight="true" outlineLevel="0" collapsed="false">
      <c r="A67" s="5" t="s">
        <v>146</v>
      </c>
      <c r="B67" s="5" t="s">
        <v>108</v>
      </c>
      <c r="C67" s="5" t="s">
        <v>170</v>
      </c>
      <c r="D67" s="5" t="s">
        <v>171</v>
      </c>
      <c r="E67" s="5" t="s">
        <v>67</v>
      </c>
      <c r="F67" s="5" t="s">
        <v>68</v>
      </c>
      <c r="G67" s="5" t="s">
        <v>69</v>
      </c>
      <c r="H67" s="11" t="n">
        <v>1</v>
      </c>
      <c r="I67" s="7" t="n">
        <v>495</v>
      </c>
      <c r="J67" s="7" t="n">
        <v>396</v>
      </c>
      <c r="K67" s="6" t="n">
        <v>396</v>
      </c>
      <c r="L67" s="6" t="n">
        <v>0</v>
      </c>
      <c r="M67" s="6" t="n">
        <v>22.28</v>
      </c>
      <c r="N67" s="6" t="n">
        <v>418.28</v>
      </c>
      <c r="O67" s="6" t="n">
        <v>104.57</v>
      </c>
      <c r="P67" s="6" t="n">
        <v>522.85</v>
      </c>
      <c r="Q67" s="6" t="n">
        <v>48.48</v>
      </c>
      <c r="R67" s="7" t="str">
        <f aca="false">IF(G67="parking","",(K67+L67)/H67)</f>
        <v/>
      </c>
      <c r="S67" s="5" t="str">
        <f aca="false">IF(ABS(ROUND(H67*J67,2)-K67)&lt;=0.02,"OK","CHECK")</f>
        <v>OK</v>
      </c>
      <c r="T67" s="5" t="str">
        <f aca="false">IF(ABS(ROUND(K67+L67+IF(M67="",0,M67),2)-N67)&lt;=0.011,"OK","CHECK")</f>
        <v>OK</v>
      </c>
      <c r="U67" s="5" t="str">
        <f aca="false">IF(ABS(ROUND(N67*0.25,2)-O67)&lt;=0.07,"OK","CHECK")</f>
        <v>OK</v>
      </c>
      <c r="V67" s="5" t="str">
        <f aca="false">IF(ABS(N67+O67-P67)&lt;=0.011,"OK","CHECK")</f>
        <v>OK</v>
      </c>
    </row>
    <row r="68" customFormat="false" ht="15" hidden="false" customHeight="true" outlineLevel="0" collapsed="false">
      <c r="A68" s="5" t="s">
        <v>146</v>
      </c>
      <c r="B68" s="5" t="s">
        <v>108</v>
      </c>
      <c r="C68" s="5" t="s">
        <v>172</v>
      </c>
      <c r="D68" s="5" t="s">
        <v>173</v>
      </c>
      <c r="E68" s="5" t="s">
        <v>72</v>
      </c>
      <c r="F68" s="5" t="s">
        <v>16</v>
      </c>
      <c r="G68" s="5" t="s">
        <v>73</v>
      </c>
      <c r="H68" s="11" t="n">
        <v>417.83</v>
      </c>
      <c r="I68" s="7" t="n">
        <v>21.45</v>
      </c>
      <c r="J68" s="7" t="n">
        <v>17.16</v>
      </c>
      <c r="K68" s="6" t="n">
        <v>7169.96</v>
      </c>
      <c r="L68" s="6" t="n">
        <v>-543.18</v>
      </c>
      <c r="M68" s="6"/>
      <c r="N68" s="6" t="n">
        <v>6626.78</v>
      </c>
      <c r="O68" s="6" t="n">
        <v>1656.7</v>
      </c>
      <c r="P68" s="6" t="n">
        <v>8283.48</v>
      </c>
      <c r="Q68" s="6" t="n">
        <v>771.99</v>
      </c>
      <c r="R68" s="7" t="n">
        <f aca="false">IF(G68="parking","",(K68+L68)/H68)</f>
        <v>15.8599909053921</v>
      </c>
      <c r="S68" s="5" t="str">
        <f aca="false">IF(ABS(ROUND(H68*J68,2)-K68)&lt;=0.02,"OK","CHECK")</f>
        <v>OK</v>
      </c>
      <c r="T68" s="5" t="str">
        <f aca="false">IF(ABS(ROUND(K68+L68+IF(M68="",0,M68),2)-N68)&lt;=0.011,"OK","CHECK")</f>
        <v>OK</v>
      </c>
      <c r="U68" s="5" t="str">
        <f aca="false">IF(ABS(ROUND(N68*0.25,2)-O68)&lt;=0.07,"OK","CHECK")</f>
        <v>OK</v>
      </c>
      <c r="V68" s="5" t="str">
        <f aca="false">IF(ABS(N68+O68-P68)&lt;=0.011,"OK","CHECK")</f>
        <v>OK</v>
      </c>
    </row>
    <row r="69" customFormat="false" ht="15" hidden="false" customHeight="true" outlineLevel="0" collapsed="false">
      <c r="A69" s="5" t="s">
        <v>146</v>
      </c>
      <c r="B69" s="5" t="s">
        <v>108</v>
      </c>
      <c r="C69" s="5" t="s">
        <v>172</v>
      </c>
      <c r="D69" s="5" t="s">
        <v>174</v>
      </c>
      <c r="E69" s="5" t="s">
        <v>67</v>
      </c>
      <c r="F69" s="5" t="s">
        <v>68</v>
      </c>
      <c r="G69" s="5" t="s">
        <v>69</v>
      </c>
      <c r="H69" s="11" t="n">
        <v>1</v>
      </c>
      <c r="I69" s="7" t="n">
        <v>295</v>
      </c>
      <c r="J69" s="7" t="n">
        <v>236</v>
      </c>
      <c r="K69" s="6" t="n">
        <v>236</v>
      </c>
      <c r="L69" s="6" t="n">
        <v>0</v>
      </c>
      <c r="M69" s="6" t="n">
        <v>13.28</v>
      </c>
      <c r="N69" s="6" t="n">
        <v>249.28</v>
      </c>
      <c r="O69" s="6" t="n">
        <v>62.32</v>
      </c>
      <c r="P69" s="6" t="n">
        <v>311.6</v>
      </c>
      <c r="Q69" s="6" t="n">
        <v>29.04</v>
      </c>
      <c r="R69" s="7" t="str">
        <f aca="false">IF(G69="parking","",(K69+L69)/H69)</f>
        <v/>
      </c>
      <c r="S69" s="5" t="str">
        <f aca="false">IF(ABS(ROUND(H69*J69,2)-K69)&lt;=0.02,"OK","CHECK")</f>
        <v>OK</v>
      </c>
      <c r="T69" s="5" t="str">
        <f aca="false">IF(ABS(ROUND(K69+L69+IF(M69="",0,M69),2)-N69)&lt;=0.011,"OK","CHECK")</f>
        <v>OK</v>
      </c>
      <c r="U69" s="5" t="str">
        <f aca="false">IF(ABS(ROUND(N69*0.25,2)-O69)&lt;=0.07,"OK","CHECK")</f>
        <v>OK</v>
      </c>
      <c r="V69" s="5" t="str">
        <f aca="false">IF(ABS(N69+O69-P69)&lt;=0.011,"OK","CHECK")</f>
        <v>OK</v>
      </c>
    </row>
    <row r="70" customFormat="false" ht="15" hidden="false" customHeight="true" outlineLevel="0" collapsed="false">
      <c r="A70" s="5" t="s">
        <v>146</v>
      </c>
      <c r="B70" s="5" t="s">
        <v>108</v>
      </c>
      <c r="C70" s="5" t="s">
        <v>175</v>
      </c>
      <c r="D70" s="5" t="s">
        <v>176</v>
      </c>
      <c r="E70" s="5" t="s">
        <v>116</v>
      </c>
      <c r="F70" s="5" t="s">
        <v>18</v>
      </c>
      <c r="G70" s="5" t="s">
        <v>69</v>
      </c>
      <c r="H70" s="11" t="n">
        <v>1</v>
      </c>
      <c r="I70" s="7" t="n">
        <v>130</v>
      </c>
      <c r="J70" s="7" t="n">
        <v>104</v>
      </c>
      <c r="K70" s="6" t="n">
        <v>104</v>
      </c>
      <c r="L70" s="6" t="n">
        <v>0</v>
      </c>
      <c r="M70" s="6" t="n">
        <v>5.85</v>
      </c>
      <c r="N70" s="6" t="n">
        <v>109.85</v>
      </c>
      <c r="O70" s="6" t="n">
        <v>27.46</v>
      </c>
      <c r="P70" s="6" t="n">
        <v>137.31</v>
      </c>
      <c r="Q70" s="6" t="n">
        <v>12.74</v>
      </c>
      <c r="R70" s="7" t="str">
        <f aca="false">IF(G70="parking","",(K70+L70)/H70)</f>
        <v/>
      </c>
      <c r="S70" s="5" t="str">
        <f aca="false">IF(ABS(ROUND(H70*J70,2)-K70)&lt;=0.02,"OK","CHECK")</f>
        <v>OK</v>
      </c>
      <c r="T70" s="5" t="str">
        <f aca="false">IF(ABS(ROUND(K70+L70+IF(M70="",0,M70),2)-N70)&lt;=0.011,"OK","CHECK")</f>
        <v>OK</v>
      </c>
      <c r="U70" s="5" t="str">
        <f aca="false">IF(ABS(ROUND(N70*0.25,2)-O70)&lt;=0.07,"OK","CHECK")</f>
        <v>OK</v>
      </c>
      <c r="V70" s="5" t="str">
        <f aca="false">IF(ABS(N70+O70-P70)&lt;=0.011,"OK","CHECK")</f>
        <v>OK</v>
      </c>
    </row>
    <row r="71" customFormat="false" ht="15" hidden="false" customHeight="true" outlineLevel="0" collapsed="false">
      <c r="A71" s="5" t="s">
        <v>146</v>
      </c>
      <c r="B71" s="5" t="s">
        <v>108</v>
      </c>
      <c r="C71" s="5" t="s">
        <v>160</v>
      </c>
      <c r="D71" s="5" t="s">
        <v>177</v>
      </c>
      <c r="E71" s="5" t="s">
        <v>67</v>
      </c>
      <c r="F71" s="5" t="s">
        <v>68</v>
      </c>
      <c r="G71" s="5" t="s">
        <v>69</v>
      </c>
      <c r="H71" s="11" t="n">
        <v>1</v>
      </c>
      <c r="I71" s="7" t="n">
        <v>295</v>
      </c>
      <c r="J71" s="7" t="n">
        <v>236</v>
      </c>
      <c r="K71" s="6" t="n">
        <v>236</v>
      </c>
      <c r="L71" s="6" t="n">
        <v>0</v>
      </c>
      <c r="M71" s="6" t="n">
        <v>13.28</v>
      </c>
      <c r="N71" s="6" t="n">
        <v>249.28</v>
      </c>
      <c r="O71" s="6" t="n">
        <v>62.32</v>
      </c>
      <c r="P71" s="6" t="n">
        <v>311.6</v>
      </c>
      <c r="Q71" s="6" t="n">
        <v>29.05</v>
      </c>
      <c r="R71" s="7" t="str">
        <f aca="false">IF(G71="parking","",(K71+L71)/H71)</f>
        <v/>
      </c>
      <c r="S71" s="5" t="str">
        <f aca="false">IF(ABS(ROUND(H71*J71,2)-K71)&lt;=0.02,"OK","CHECK")</f>
        <v>OK</v>
      </c>
      <c r="T71" s="5" t="str">
        <f aca="false">IF(ABS(ROUND(K71+L71+IF(M71="",0,M71),2)-N71)&lt;=0.011,"OK","CHECK")</f>
        <v>OK</v>
      </c>
      <c r="U71" s="5" t="str">
        <f aca="false">IF(ABS(ROUND(N71*0.25,2)-O71)&lt;=0.07,"OK","CHECK")</f>
        <v>OK</v>
      </c>
      <c r="V71" s="5" t="str">
        <f aca="false">IF(ABS(N71+O71-P71)&lt;=0.011,"OK","CHECK")</f>
        <v>OK</v>
      </c>
    </row>
    <row r="72" customFormat="false" ht="15" hidden="false" customHeight="true" outlineLevel="0" collapsed="false">
      <c r="A72" s="5" t="s">
        <v>146</v>
      </c>
      <c r="B72" s="5" t="s">
        <v>108</v>
      </c>
      <c r="C72" s="5" t="s">
        <v>178</v>
      </c>
      <c r="D72" s="5" t="s">
        <v>179</v>
      </c>
      <c r="E72" s="5" t="s">
        <v>72</v>
      </c>
      <c r="F72" s="5" t="s">
        <v>8</v>
      </c>
      <c r="G72" s="5" t="s">
        <v>73</v>
      </c>
      <c r="H72" s="11" t="n">
        <v>300</v>
      </c>
      <c r="I72" s="7" t="n">
        <v>21.45</v>
      </c>
      <c r="J72" s="7" t="n">
        <v>17.16</v>
      </c>
      <c r="K72" s="6" t="n">
        <v>5148</v>
      </c>
      <c r="L72" s="6" t="n">
        <v>-390</v>
      </c>
      <c r="M72" s="6"/>
      <c r="N72" s="6" t="n">
        <v>4758</v>
      </c>
      <c r="O72" s="6" t="n">
        <v>1189.5</v>
      </c>
      <c r="P72" s="6" t="n">
        <v>5947.5</v>
      </c>
      <c r="Q72" s="6" t="n">
        <v>554.31</v>
      </c>
      <c r="R72" s="7" t="n">
        <f aca="false">IF(G72="parking","",(K72+L72)/H72)</f>
        <v>15.86</v>
      </c>
      <c r="S72" s="5" t="str">
        <f aca="false">IF(ABS(ROUND(H72*J72,2)-K72)&lt;=0.02,"OK","CHECK")</f>
        <v>OK</v>
      </c>
      <c r="T72" s="5" t="str">
        <f aca="false">IF(ABS(ROUND(K72+L72+IF(M72="",0,M72),2)-N72)&lt;=0.011,"OK","CHECK")</f>
        <v>OK</v>
      </c>
      <c r="U72" s="5" t="str">
        <f aca="false">IF(ABS(ROUND(N72*0.25,2)-O72)&lt;=0.07,"OK","CHECK")</f>
        <v>OK</v>
      </c>
      <c r="V72" s="5" t="str">
        <f aca="false">IF(ABS(N72+O72-P72)&lt;=0.011,"OK","CHECK")</f>
        <v>OK</v>
      </c>
    </row>
    <row r="73" customFormat="false" ht="15" hidden="false" customHeight="true" outlineLevel="0" collapsed="false">
      <c r="A73" s="5" t="s">
        <v>146</v>
      </c>
      <c r="B73" s="5" t="s">
        <v>108</v>
      </c>
      <c r="C73" s="5" t="s">
        <v>178</v>
      </c>
      <c r="D73" s="5" t="s">
        <v>180</v>
      </c>
      <c r="E73" s="5" t="s">
        <v>72</v>
      </c>
      <c r="F73" s="5" t="s">
        <v>8</v>
      </c>
      <c r="G73" s="5" t="s">
        <v>83</v>
      </c>
      <c r="H73" s="11" t="n">
        <v>47.95</v>
      </c>
      <c r="I73" s="7" t="n">
        <v>9.8901</v>
      </c>
      <c r="J73" s="7" t="n">
        <v>7.912</v>
      </c>
      <c r="K73" s="6" t="n">
        <v>379.38</v>
      </c>
      <c r="L73" s="6" t="n">
        <v>-58.5</v>
      </c>
      <c r="M73" s="6"/>
      <c r="N73" s="6" t="n">
        <v>320.88</v>
      </c>
      <c r="O73" s="6" t="n">
        <v>80.22</v>
      </c>
      <c r="P73" s="6" t="n">
        <v>401.1</v>
      </c>
      <c r="Q73" s="6" t="n">
        <v>37.38</v>
      </c>
      <c r="R73" s="7" t="n">
        <f aca="false">IF(G73="parking","",(K73+L73)/H73)</f>
        <v>6.69197080291971</v>
      </c>
      <c r="S73" s="5" t="str">
        <f aca="false">IF(ABS(ROUND(H73*J73,2)-K73)&lt;=0.02,"OK","CHECK")</f>
        <v>OK</v>
      </c>
      <c r="T73" s="5" t="str">
        <f aca="false">IF(ABS(ROUND(K73+L73+IF(M73="",0,M73),2)-N73)&lt;=0.011,"OK","CHECK")</f>
        <v>OK</v>
      </c>
      <c r="U73" s="5" t="str">
        <f aca="false">IF(ABS(ROUND(N73*0.25,2)-O73)&lt;=0.07,"OK","CHECK")</f>
        <v>OK</v>
      </c>
      <c r="V73" s="5" t="str">
        <f aca="false">IF(ABS(N73+O73-P73)&lt;=0.011,"OK","CHECK")</f>
        <v>OK</v>
      </c>
    </row>
    <row r="74" customFormat="false" ht="15" hidden="false" customHeight="true" outlineLevel="0" collapsed="false">
      <c r="A74" s="5" t="s">
        <v>146</v>
      </c>
      <c r="B74" s="5" t="s">
        <v>181</v>
      </c>
      <c r="C74" s="5" t="s">
        <v>160</v>
      </c>
      <c r="D74" s="5" t="s">
        <v>182</v>
      </c>
      <c r="E74" s="5" t="s">
        <v>72</v>
      </c>
      <c r="F74" s="5" t="s">
        <v>10</v>
      </c>
      <c r="G74" s="5" t="s">
        <v>73</v>
      </c>
      <c r="H74" s="11" t="n">
        <v>265.72</v>
      </c>
      <c r="I74" s="7" t="n">
        <v>21.45</v>
      </c>
      <c r="J74" s="7" t="n">
        <v>17.16</v>
      </c>
      <c r="K74" s="6" t="n">
        <v>4559.75</v>
      </c>
      <c r="L74" s="6" t="n">
        <v>-345.44</v>
      </c>
      <c r="M74" s="6"/>
      <c r="N74" s="6" t="n">
        <v>4214.31</v>
      </c>
      <c r="O74" s="6" t="n">
        <v>1053.58</v>
      </c>
      <c r="P74" s="6" t="n">
        <v>5267.89</v>
      </c>
      <c r="Q74" s="6" t="n">
        <v>490.97</v>
      </c>
      <c r="R74" s="7" t="n">
        <f aca="false">IF(G74="parking","",(K74+L74)/H74)</f>
        <v>15.8599653770887</v>
      </c>
      <c r="S74" s="5" t="str">
        <f aca="false">IF(ABS(ROUND(H74*J74,2)-K74)&lt;=0.02,"OK","CHECK")</f>
        <v>OK</v>
      </c>
      <c r="T74" s="5" t="str">
        <f aca="false">IF(ABS(ROUND(K74+L74+IF(M74="",0,M74),2)-N74)&lt;=0.011,"OK","CHECK")</f>
        <v>OK</v>
      </c>
      <c r="U74" s="5" t="str">
        <f aca="false">IF(ABS(ROUND(N74*0.25,2)-O74)&lt;=0.07,"OK","CHECK")</f>
        <v>OK</v>
      </c>
      <c r="V74" s="5" t="str">
        <f aca="false">IF(ABS(N74+O74-P74)&lt;=0.011,"OK","CHECK")</f>
        <v>OK</v>
      </c>
    </row>
    <row r="75" customFormat="false" ht="15" hidden="false" customHeight="true" outlineLevel="0" collapsed="false">
      <c r="A75" s="5" t="s">
        <v>146</v>
      </c>
      <c r="B75" s="5" t="s">
        <v>183</v>
      </c>
      <c r="C75" s="5" t="s">
        <v>184</v>
      </c>
      <c r="D75" s="5" t="s">
        <v>185</v>
      </c>
      <c r="E75" s="5" t="s">
        <v>116</v>
      </c>
      <c r="F75" s="5" t="s">
        <v>117</v>
      </c>
      <c r="G75" s="5" t="s">
        <v>69</v>
      </c>
      <c r="H75" s="11" t="n">
        <v>1</v>
      </c>
      <c r="I75" s="7" t="n">
        <v>140</v>
      </c>
      <c r="J75" s="7" t="n">
        <v>112</v>
      </c>
      <c r="K75" s="6" t="n">
        <v>112</v>
      </c>
      <c r="L75" s="6" t="n">
        <v>0</v>
      </c>
      <c r="M75" s="6" t="n">
        <v>6.3</v>
      </c>
      <c r="N75" s="6" t="n">
        <v>118.3</v>
      </c>
      <c r="O75" s="6" t="n">
        <v>29.58</v>
      </c>
      <c r="P75" s="6" t="n">
        <v>147.88</v>
      </c>
      <c r="Q75" s="6" t="n">
        <v>13.6</v>
      </c>
      <c r="R75" s="7" t="str">
        <f aca="false">IF(G75="parking","",(K75+L75)/H75)</f>
        <v/>
      </c>
      <c r="S75" s="5" t="str">
        <f aca="false">IF(ABS(ROUND(H75*J75,2)-K75)&lt;=0.02,"OK","CHECK")</f>
        <v>OK</v>
      </c>
      <c r="T75" s="5" t="str">
        <f aca="false">IF(ABS(ROUND(K75+L75+IF(M75="",0,M75),2)-N75)&lt;=0.011,"OK","CHECK")</f>
        <v>OK</v>
      </c>
      <c r="U75" s="5" t="str">
        <f aca="false">IF(ABS(ROUND(N75*0.25,2)-O75)&lt;=0.07,"OK","CHECK")</f>
        <v>OK</v>
      </c>
      <c r="V75" s="5" t="str">
        <f aca="false">IF(ABS(N75+O75-P75)&lt;=0.011,"OK","CHECK")</f>
        <v>OK</v>
      </c>
    </row>
    <row r="76" customFormat="false" ht="15" hidden="false" customHeight="true" outlineLevel="0" collapsed="false">
      <c r="A76" s="5" t="s">
        <v>146</v>
      </c>
      <c r="B76" s="5" t="s">
        <v>126</v>
      </c>
      <c r="C76" s="5" t="s">
        <v>178</v>
      </c>
      <c r="D76" s="5" t="s">
        <v>122</v>
      </c>
      <c r="E76" s="5" t="s">
        <v>72</v>
      </c>
      <c r="F76" s="5" t="s">
        <v>9</v>
      </c>
      <c r="G76" s="5" t="s">
        <v>73</v>
      </c>
      <c r="H76" s="11" t="n">
        <v>166.29</v>
      </c>
      <c r="I76" s="7" t="n">
        <v>21.45</v>
      </c>
      <c r="J76" s="7" t="n">
        <v>17.16</v>
      </c>
      <c r="K76" s="6" t="n">
        <v>2853.54</v>
      </c>
      <c r="L76" s="6" t="n">
        <v>-216.18</v>
      </c>
      <c r="M76" s="6"/>
      <c r="N76" s="6" t="n">
        <v>2637.36</v>
      </c>
      <c r="O76" s="6" t="n">
        <v>659.34</v>
      </c>
      <c r="P76" s="6" t="n">
        <v>3296.7</v>
      </c>
      <c r="Q76" s="6" t="n">
        <v>307.25</v>
      </c>
      <c r="R76" s="7" t="n">
        <f aca="false">IF(G76="parking","",(K76+L76)/H76)</f>
        <v>15.8600036081544</v>
      </c>
      <c r="S76" s="5" t="str">
        <f aca="false">IF(ABS(ROUND(H76*J76,2)-K76)&lt;=0.02,"OK","CHECK")</f>
        <v>OK</v>
      </c>
      <c r="T76" s="5" t="str">
        <f aca="false">IF(ABS(ROUND(K76+L76+IF(M76="",0,M76),2)-N76)&lt;=0.011,"OK","CHECK")</f>
        <v>OK</v>
      </c>
      <c r="U76" s="5" t="str">
        <f aca="false">IF(ABS(ROUND(N76*0.25,2)-O76)&lt;=0.07,"OK","CHECK")</f>
        <v>OK</v>
      </c>
      <c r="V76" s="5" t="str">
        <f aca="false">IF(ABS(N76+O76-P76)&lt;=0.011,"OK","CHECK")</f>
        <v>OK</v>
      </c>
    </row>
    <row r="77" customFormat="false" ht="15" hidden="false" customHeight="true" outlineLevel="0" collapsed="false">
      <c r="A77" s="5" t="s">
        <v>146</v>
      </c>
      <c r="B77" s="5" t="s">
        <v>126</v>
      </c>
      <c r="C77" s="5" t="s">
        <v>178</v>
      </c>
      <c r="D77" s="5" t="s">
        <v>186</v>
      </c>
      <c r="E77" s="5" t="s">
        <v>72</v>
      </c>
      <c r="F77" s="5" t="s">
        <v>9</v>
      </c>
      <c r="G77" s="5" t="s">
        <v>73</v>
      </c>
      <c r="H77" s="11" t="n">
        <v>448.66</v>
      </c>
      <c r="I77" s="7" t="n">
        <v>21.45</v>
      </c>
      <c r="J77" s="7" t="n">
        <v>17.16</v>
      </c>
      <c r="K77" s="6" t="n">
        <v>7699.01</v>
      </c>
      <c r="L77" s="6" t="n">
        <v>-583.26</v>
      </c>
      <c r="M77" s="6"/>
      <c r="N77" s="6" t="n">
        <v>7115.75</v>
      </c>
      <c r="O77" s="6" t="n">
        <v>1778.94</v>
      </c>
      <c r="P77" s="6" t="n">
        <v>8894.69</v>
      </c>
      <c r="Q77" s="6" t="n">
        <v>828.98</v>
      </c>
      <c r="R77" s="7" t="n">
        <f aca="false">IF(G77="parking","",(K77+L77)/H77)</f>
        <v>15.8600053492622</v>
      </c>
      <c r="S77" s="5" t="str">
        <f aca="false">IF(ABS(ROUND(H77*J77,2)-K77)&lt;=0.02,"OK","CHECK")</f>
        <v>OK</v>
      </c>
      <c r="T77" s="5" t="str">
        <f aca="false">IF(ABS(ROUND(K77+L77+IF(M77="",0,M77),2)-N77)&lt;=0.011,"OK","CHECK")</f>
        <v>OK</v>
      </c>
      <c r="U77" s="5" t="str">
        <f aca="false">IF(ABS(ROUND(N77*0.25,2)-O77)&lt;=0.07,"OK","CHECK")</f>
        <v>OK</v>
      </c>
      <c r="V77" s="5" t="str">
        <f aca="false">IF(ABS(N77+O77-P77)&lt;=0.011,"OK","CHECK")</f>
        <v>OK</v>
      </c>
    </row>
    <row r="78" customFormat="false" ht="15" hidden="false" customHeight="true" outlineLevel="0" collapsed="false">
      <c r="A78" s="5" t="s">
        <v>146</v>
      </c>
      <c r="B78" s="5" t="s">
        <v>126</v>
      </c>
      <c r="C78" s="5" t="s">
        <v>178</v>
      </c>
      <c r="D78" s="5" t="s">
        <v>187</v>
      </c>
      <c r="E78" s="5" t="s">
        <v>72</v>
      </c>
      <c r="F78" s="5" t="s">
        <v>9</v>
      </c>
      <c r="G78" s="5" t="s">
        <v>73</v>
      </c>
      <c r="H78" s="11" t="n">
        <v>350</v>
      </c>
      <c r="I78" s="7" t="n">
        <v>21.45</v>
      </c>
      <c r="J78" s="7" t="n">
        <v>17.16</v>
      </c>
      <c r="K78" s="6" t="n">
        <v>6006</v>
      </c>
      <c r="L78" s="6" t="n">
        <v>-455</v>
      </c>
      <c r="M78" s="6"/>
      <c r="N78" s="6" t="n">
        <v>5551</v>
      </c>
      <c r="O78" s="6" t="n">
        <v>1387.75</v>
      </c>
      <c r="P78" s="6" t="n">
        <v>6938.75</v>
      </c>
      <c r="Q78" s="6" t="n">
        <v>646.7</v>
      </c>
      <c r="R78" s="7" t="n">
        <f aca="false">IF(G78="parking","",(K78+L78)/H78)</f>
        <v>15.86</v>
      </c>
      <c r="S78" s="5" t="str">
        <f aca="false">IF(ABS(ROUND(H78*J78,2)-K78)&lt;=0.02,"OK","CHECK")</f>
        <v>OK</v>
      </c>
      <c r="T78" s="5" t="str">
        <f aca="false">IF(ABS(ROUND(K78+L78+IF(M78="",0,M78),2)-N78)&lt;=0.011,"OK","CHECK")</f>
        <v>OK</v>
      </c>
      <c r="U78" s="5" t="str">
        <f aca="false">IF(ABS(ROUND(N78*0.25,2)-O78)&lt;=0.07,"OK","CHECK")</f>
        <v>OK</v>
      </c>
      <c r="V78" s="5" t="str">
        <f aca="false">IF(ABS(N78+O78-P78)&lt;=0.011,"OK","CHECK")</f>
        <v>OK</v>
      </c>
    </row>
    <row r="79" customFormat="false" ht="15" hidden="false" customHeight="true" outlineLevel="0" collapsed="false">
      <c r="A79" s="5" t="s">
        <v>146</v>
      </c>
      <c r="B79" s="5" t="s">
        <v>126</v>
      </c>
      <c r="C79" s="5" t="s">
        <v>178</v>
      </c>
      <c r="D79" s="5" t="s">
        <v>188</v>
      </c>
      <c r="E79" s="5" t="s">
        <v>72</v>
      </c>
      <c r="F79" s="5" t="s">
        <v>9</v>
      </c>
      <c r="G79" s="5" t="s">
        <v>83</v>
      </c>
      <c r="H79" s="11" t="n">
        <v>62.65</v>
      </c>
      <c r="I79" s="7" t="n">
        <v>9.89</v>
      </c>
      <c r="J79" s="7" t="n">
        <v>7.9121</v>
      </c>
      <c r="K79" s="6" t="n">
        <v>495.69</v>
      </c>
      <c r="L79" s="6" t="n">
        <v>-76.43</v>
      </c>
      <c r="M79" s="6"/>
      <c r="N79" s="6" t="n">
        <v>419.26</v>
      </c>
      <c r="O79" s="6" t="n">
        <v>104.82</v>
      </c>
      <c r="P79" s="6" t="n">
        <v>524.08</v>
      </c>
      <c r="Q79" s="6" t="n">
        <v>48.84</v>
      </c>
      <c r="R79" s="7" t="n">
        <f aca="false">IF(G79="parking","",(K79+L79)/H79)</f>
        <v>6.69209896249002</v>
      </c>
      <c r="S79" s="5" t="str">
        <f aca="false">IF(ABS(ROUND(H79*J79,2)-K79)&lt;=0.02,"OK","CHECK")</f>
        <v>OK</v>
      </c>
      <c r="T79" s="5" t="str">
        <f aca="false">IF(ABS(ROUND(K79+L79+IF(M79="",0,M79),2)-N79)&lt;=0.011,"OK","CHECK")</f>
        <v>OK</v>
      </c>
      <c r="U79" s="5" t="str">
        <f aca="false">IF(ABS(ROUND(N79*0.25,2)-O79)&lt;=0.07,"OK","CHECK")</f>
        <v>OK</v>
      </c>
      <c r="V79" s="5" t="str">
        <f aca="false">IF(ABS(N79+O79-P79)&lt;=0.011,"OK","CHECK")</f>
        <v>OK</v>
      </c>
    </row>
    <row r="80" customFormat="false" ht="15" hidden="false" customHeight="true" outlineLevel="0" collapsed="false">
      <c r="A80" s="5" t="s">
        <v>146</v>
      </c>
      <c r="B80" s="5" t="s">
        <v>131</v>
      </c>
      <c r="C80" s="5" t="s">
        <v>172</v>
      </c>
      <c r="D80" s="5" t="s">
        <v>189</v>
      </c>
      <c r="E80" s="5" t="s">
        <v>72</v>
      </c>
      <c r="F80" s="5" t="s">
        <v>19</v>
      </c>
      <c r="G80" s="5" t="s">
        <v>73</v>
      </c>
      <c r="H80" s="11" t="n">
        <v>255.96</v>
      </c>
      <c r="I80" s="7" t="n">
        <v>21.45</v>
      </c>
      <c r="J80" s="7" t="n">
        <v>17.16</v>
      </c>
      <c r="K80" s="6" t="n">
        <v>4392.27</v>
      </c>
      <c r="L80" s="6" t="n">
        <v>-332.75</v>
      </c>
      <c r="M80" s="6"/>
      <c r="N80" s="6" t="n">
        <v>4059.52</v>
      </c>
      <c r="O80" s="6" t="n">
        <v>1014.88</v>
      </c>
      <c r="P80" s="6" t="n">
        <v>5074.4</v>
      </c>
      <c r="Q80" s="6" t="n">
        <v>472.91</v>
      </c>
      <c r="R80" s="7" t="n">
        <f aca="false">IF(G80="parking","",(K80+L80)/H80)</f>
        <v>15.8599781215815</v>
      </c>
      <c r="S80" s="5" t="str">
        <f aca="false">IF(ABS(ROUND(H80*J80,2)-K80)&lt;=0.02,"OK","CHECK")</f>
        <v>OK</v>
      </c>
      <c r="T80" s="5" t="str">
        <f aca="false">IF(ABS(ROUND(K80+L80+IF(M80="",0,M80),2)-N80)&lt;=0.011,"OK","CHECK")</f>
        <v>OK</v>
      </c>
      <c r="U80" s="5" t="str">
        <f aca="false">IF(ABS(ROUND(N80*0.25,2)-O80)&lt;=0.07,"OK","CHECK")</f>
        <v>OK</v>
      </c>
      <c r="V80" s="5" t="str">
        <f aca="false">IF(ABS(N80+O80-P80)&lt;=0.011,"OK","CHECK")</f>
        <v>OK</v>
      </c>
    </row>
    <row r="81" customFormat="false" ht="15" hidden="false" customHeight="true" outlineLevel="0" collapsed="false">
      <c r="A81" s="5" t="s">
        <v>146</v>
      </c>
      <c r="B81" s="5" t="s">
        <v>131</v>
      </c>
      <c r="C81" s="5" t="s">
        <v>172</v>
      </c>
      <c r="D81" s="5" t="s">
        <v>190</v>
      </c>
      <c r="E81" s="5" t="s">
        <v>72</v>
      </c>
      <c r="F81" s="5" t="s">
        <v>19</v>
      </c>
      <c r="G81" s="5" t="s">
        <v>73</v>
      </c>
      <c r="H81" s="11" t="n">
        <v>410.02</v>
      </c>
      <c r="I81" s="7" t="n">
        <v>21.45</v>
      </c>
      <c r="J81" s="7" t="n">
        <v>17.16</v>
      </c>
      <c r="K81" s="6" t="n">
        <v>7035.94</v>
      </c>
      <c r="L81" s="6" t="n">
        <v>-533.03</v>
      </c>
      <c r="M81" s="6"/>
      <c r="N81" s="6" t="n">
        <v>6502.91</v>
      </c>
      <c r="O81" s="6" t="n">
        <v>1625.73</v>
      </c>
      <c r="P81" s="6" t="n">
        <v>8128.64</v>
      </c>
      <c r="Q81" s="6" t="n">
        <v>757.56</v>
      </c>
      <c r="R81" s="7" t="n">
        <f aca="false">IF(G81="parking","",(K81+L81)/H81)</f>
        <v>15.859982439881</v>
      </c>
      <c r="S81" s="5" t="str">
        <f aca="false">IF(ABS(ROUND(H81*J81,2)-K81)&lt;=0.02,"OK","CHECK")</f>
        <v>OK</v>
      </c>
      <c r="T81" s="5" t="str">
        <f aca="false">IF(ABS(ROUND(K81+L81+IF(M81="",0,M81),2)-N81)&lt;=0.011,"OK","CHECK")</f>
        <v>OK</v>
      </c>
      <c r="U81" s="5" t="str">
        <f aca="false">IF(ABS(ROUND(N81*0.25,2)-O81)&lt;=0.07,"OK","CHECK")</f>
        <v>OK</v>
      </c>
      <c r="V81" s="5" t="str">
        <f aca="false">IF(ABS(N81+O81-P81)&lt;=0.011,"OK","CHECK")</f>
        <v>OK</v>
      </c>
    </row>
    <row r="82" customFormat="false" ht="15" hidden="false" customHeight="true" outlineLevel="0" collapsed="false">
      <c r="A82" s="5" t="s">
        <v>146</v>
      </c>
      <c r="B82" s="5" t="s">
        <v>131</v>
      </c>
      <c r="C82" s="5" t="s">
        <v>172</v>
      </c>
      <c r="D82" s="5" t="s">
        <v>191</v>
      </c>
      <c r="E82" s="5" t="s">
        <v>72</v>
      </c>
      <c r="F82" s="5" t="s">
        <v>19</v>
      </c>
      <c r="G82" s="5" t="s">
        <v>83</v>
      </c>
      <c r="H82" s="11" t="n">
        <v>32.88</v>
      </c>
      <c r="I82" s="7" t="n">
        <v>9.8899</v>
      </c>
      <c r="J82" s="7" t="n">
        <v>7.9118</v>
      </c>
      <c r="K82" s="6" t="n">
        <v>260.14</v>
      </c>
      <c r="L82" s="6" t="n">
        <v>-40.11</v>
      </c>
      <c r="M82" s="6"/>
      <c r="N82" s="6" t="n">
        <v>220.03</v>
      </c>
      <c r="O82" s="6" t="n">
        <v>55.01</v>
      </c>
      <c r="P82" s="6" t="n">
        <v>275.04</v>
      </c>
      <c r="Q82" s="6" t="n">
        <v>25.63</v>
      </c>
      <c r="R82" s="7" t="n">
        <f aca="false">IF(G82="parking","",(K82+L82)/H82)</f>
        <v>6.6919099756691</v>
      </c>
      <c r="S82" s="5" t="str">
        <f aca="false">IF(ABS(ROUND(H82*J82,2)-K82)&lt;=0.02,"OK","CHECK")</f>
        <v>OK</v>
      </c>
      <c r="T82" s="5" t="str">
        <f aca="false">IF(ABS(ROUND(K82+L82+IF(M82="",0,M82),2)-N82)&lt;=0.011,"OK","CHECK")</f>
        <v>OK</v>
      </c>
      <c r="U82" s="5" t="str">
        <f aca="false">IF(ABS(ROUND(N82*0.25,2)-O82)&lt;=0.07,"OK","CHECK")</f>
        <v>OK</v>
      </c>
      <c r="V82" s="5" t="str">
        <f aca="false">IF(ABS(N82+O82-P82)&lt;=0.011,"OK","CHECK")</f>
        <v>OK</v>
      </c>
    </row>
    <row r="83" customFormat="false" ht="15" hidden="false" customHeight="true" outlineLevel="0" collapsed="false">
      <c r="A83" s="5" t="s">
        <v>146</v>
      </c>
      <c r="B83" s="5" t="s">
        <v>139</v>
      </c>
      <c r="C83" s="5" t="s">
        <v>175</v>
      </c>
      <c r="D83" s="5" t="s">
        <v>192</v>
      </c>
      <c r="E83" s="5" t="s">
        <v>72</v>
      </c>
      <c r="F83" s="5" t="s">
        <v>20</v>
      </c>
      <c r="G83" s="5" t="s">
        <v>73</v>
      </c>
      <c r="H83" s="11" t="n">
        <v>446.87</v>
      </c>
      <c r="I83" s="7" t="n">
        <v>21.45</v>
      </c>
      <c r="J83" s="7" t="n">
        <v>17.16</v>
      </c>
      <c r="K83" s="6" t="n">
        <v>7668.29</v>
      </c>
      <c r="L83" s="6" t="n">
        <v>-580.93</v>
      </c>
      <c r="M83" s="6"/>
      <c r="N83" s="6" t="n">
        <v>7087.36</v>
      </c>
      <c r="O83" s="6" t="n">
        <v>1771.84</v>
      </c>
      <c r="P83" s="6" t="n">
        <v>8859.2</v>
      </c>
      <c r="Q83" s="6" t="n">
        <v>822.1</v>
      </c>
      <c r="R83" s="7" t="n">
        <f aca="false">IF(G83="parking","",(K83+L83)/H83)</f>
        <v>15.8600040280171</v>
      </c>
      <c r="S83" s="5" t="str">
        <f aca="false">IF(ABS(ROUND(H83*J83,2)-K83)&lt;=0.02,"OK","CHECK")</f>
        <v>OK</v>
      </c>
      <c r="T83" s="5" t="str">
        <f aca="false">IF(ABS(ROUND(K83+L83+IF(M83="",0,M83),2)-N83)&lt;=0.011,"OK","CHECK")</f>
        <v>OK</v>
      </c>
      <c r="U83" s="5" t="str">
        <f aca="false">IF(ABS(ROUND(N83*0.25,2)-O83)&lt;=0.07,"OK","CHECK")</f>
        <v>OK</v>
      </c>
      <c r="V83" s="5" t="str">
        <f aca="false">IF(ABS(N83+O83-P83)&lt;=0.011,"OK","CHECK")</f>
        <v>OK</v>
      </c>
    </row>
    <row r="84" customFormat="false" ht="15" hidden="false" customHeight="true" outlineLevel="0" collapsed="false">
      <c r="A84" s="5" t="s">
        <v>146</v>
      </c>
      <c r="B84" s="5" t="s">
        <v>139</v>
      </c>
      <c r="C84" s="5" t="s">
        <v>160</v>
      </c>
      <c r="D84" s="5" t="s">
        <v>173</v>
      </c>
      <c r="E84" s="5" t="s">
        <v>72</v>
      </c>
      <c r="F84" s="5" t="s">
        <v>13</v>
      </c>
      <c r="G84" s="5" t="s">
        <v>73</v>
      </c>
      <c r="H84" s="11" t="n">
        <v>332.89</v>
      </c>
      <c r="I84" s="7" t="n">
        <v>21.45</v>
      </c>
      <c r="J84" s="7" t="n">
        <v>17.16</v>
      </c>
      <c r="K84" s="6" t="n">
        <v>5712.39</v>
      </c>
      <c r="L84" s="6" t="n">
        <v>-432.76</v>
      </c>
      <c r="M84" s="6"/>
      <c r="N84" s="6" t="n">
        <v>5279.63</v>
      </c>
      <c r="O84" s="6" t="n">
        <v>1319.91</v>
      </c>
      <c r="P84" s="6" t="n">
        <v>6599.54</v>
      </c>
      <c r="Q84" s="6" t="n">
        <v>615.08</v>
      </c>
      <c r="R84" s="7" t="n">
        <f aca="false">IF(G84="parking","",(K84+L84)/H84)</f>
        <v>15.8599837784253</v>
      </c>
      <c r="S84" s="5" t="str">
        <f aca="false">IF(ABS(ROUND(H84*J84,2)-K84)&lt;=0.02,"OK","CHECK")</f>
        <v>OK</v>
      </c>
      <c r="T84" s="5" t="str">
        <f aca="false">IF(ABS(ROUND(K84+L84+IF(M84="",0,M84),2)-N84)&lt;=0.011,"OK","CHECK")</f>
        <v>OK</v>
      </c>
      <c r="U84" s="5" t="str">
        <f aca="false">IF(ABS(ROUND(N84*0.25,2)-O84)&lt;=0.07,"OK","CHECK")</f>
        <v>OK</v>
      </c>
      <c r="V84" s="5" t="str">
        <f aca="false">IF(ABS(N84+O84-P84)&lt;=0.011,"OK","CHECK")</f>
        <v>OK</v>
      </c>
    </row>
    <row r="85" customFormat="false" ht="15" hidden="false" customHeight="true" outlineLevel="0" collapsed="false">
      <c r="A85" s="5" t="s">
        <v>146</v>
      </c>
      <c r="B85" s="5" t="s">
        <v>139</v>
      </c>
      <c r="C85" s="5" t="s">
        <v>160</v>
      </c>
      <c r="D85" s="5" t="s">
        <v>193</v>
      </c>
      <c r="E85" s="5" t="s">
        <v>72</v>
      </c>
      <c r="F85" s="5" t="s">
        <v>13</v>
      </c>
      <c r="G85" s="5" t="s">
        <v>83</v>
      </c>
      <c r="H85" s="11" t="n">
        <v>58.51</v>
      </c>
      <c r="I85" s="7" t="n">
        <v>9.8899</v>
      </c>
      <c r="J85" s="7" t="n">
        <v>7.912</v>
      </c>
      <c r="K85" s="6" t="n">
        <v>462.93</v>
      </c>
      <c r="L85" s="6" t="n">
        <v>-71.38</v>
      </c>
      <c r="M85" s="6"/>
      <c r="N85" s="6" t="n">
        <v>391.55</v>
      </c>
      <c r="O85" s="6" t="n">
        <v>97.89</v>
      </c>
      <c r="P85" s="6" t="n">
        <v>489.44</v>
      </c>
      <c r="Q85" s="6" t="n">
        <v>45.61</v>
      </c>
      <c r="R85" s="7" t="n">
        <f aca="false">IF(G85="parking","",(K85+L85)/H85)</f>
        <v>6.69201845838318</v>
      </c>
      <c r="S85" s="5" t="str">
        <f aca="false">IF(ABS(ROUND(H85*J85,2)-K85)&lt;=0.02,"OK","CHECK")</f>
        <v>OK</v>
      </c>
      <c r="T85" s="5" t="str">
        <f aca="false">IF(ABS(ROUND(K85+L85+IF(M85="",0,M85),2)-N85)&lt;=0.011,"OK","CHECK")</f>
        <v>OK</v>
      </c>
      <c r="U85" s="5" t="str">
        <f aca="false">IF(ABS(ROUND(N85*0.25,2)-O85)&lt;=0.07,"OK","CHECK")</f>
        <v>OK</v>
      </c>
      <c r="V85" s="5" t="str">
        <f aca="false">IF(ABS(N85+O85-P85)&lt;=0.011,"OK","CHECK")</f>
        <v>OK</v>
      </c>
    </row>
    <row r="86" customFormat="false" ht="15" hidden="false" customHeight="true" outlineLevel="0" collapsed="false">
      <c r="A86" s="5" t="s">
        <v>146</v>
      </c>
      <c r="B86" s="5" t="s">
        <v>139</v>
      </c>
      <c r="C86" s="5" t="s">
        <v>160</v>
      </c>
      <c r="D86" s="5" t="s">
        <v>194</v>
      </c>
      <c r="E86" s="5" t="s">
        <v>72</v>
      </c>
      <c r="F86" s="5" t="s">
        <v>13</v>
      </c>
      <c r="G86" s="5" t="s">
        <v>73</v>
      </c>
      <c r="H86" s="11" t="n">
        <v>327.21</v>
      </c>
      <c r="I86" s="7" t="n">
        <v>21.45</v>
      </c>
      <c r="J86" s="7" t="n">
        <v>17.16</v>
      </c>
      <c r="K86" s="6" t="n">
        <v>5614.92</v>
      </c>
      <c r="L86" s="6" t="n">
        <v>-425.37</v>
      </c>
      <c r="M86" s="6"/>
      <c r="N86" s="6" t="n">
        <v>5189.55</v>
      </c>
      <c r="O86" s="6" t="n">
        <v>1297.39</v>
      </c>
      <c r="P86" s="6" t="n">
        <v>6486.94</v>
      </c>
      <c r="Q86" s="6" t="n">
        <v>604.59</v>
      </c>
      <c r="R86" s="7" t="n">
        <f aca="false">IF(G86="parking","",(K86+L86)/H86)</f>
        <v>15.8599981663152</v>
      </c>
      <c r="S86" s="5" t="str">
        <f aca="false">IF(ABS(ROUND(H86*J86,2)-K86)&lt;=0.02,"OK","CHECK")</f>
        <v>OK</v>
      </c>
      <c r="T86" s="5" t="str">
        <f aca="false">IF(ABS(ROUND(K86+L86+IF(M86="",0,M86),2)-N86)&lt;=0.011,"OK","CHECK")</f>
        <v>OK</v>
      </c>
      <c r="U86" s="5" t="str">
        <f aca="false">IF(ABS(ROUND(N86*0.25,2)-O86)&lt;=0.07,"OK","CHECK")</f>
        <v>OK</v>
      </c>
      <c r="V86" s="5" t="str">
        <f aca="false">IF(ABS(N86+O86-P86)&lt;=0.011,"OK","CHECK")</f>
        <v>OK</v>
      </c>
    </row>
    <row r="88" customFormat="false" ht="15" hidden="false" customHeight="false" outlineLevel="0" collapsed="false">
      <c r="A88" s="12" t="s">
        <v>195</v>
      </c>
    </row>
  </sheetData>
  <autoFilter ref="A1:V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4" min="3" style="1" width="10"/>
    <col collapsed="false" customWidth="true" hidden="false" outlineLevel="0" max="5" min="5" style="1" width="9"/>
    <col collapsed="false" customWidth="true" hidden="false" outlineLevel="0" max="6" min="6" style="1" width="7"/>
    <col collapsed="false" customWidth="true" hidden="false" outlineLevel="0" max="7" min="7" style="1" width="10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9"/>
    <col collapsed="false" customWidth="true" hidden="false" outlineLevel="0" max="12" min="11" style="1" width="10"/>
    <col collapsed="false" customWidth="true" hidden="false" outlineLevel="0" max="13" min="13" style="1" width="9"/>
    <col collapsed="false" customWidth="true" hidden="false" outlineLevel="0" max="14" min="14" style="1" width="7"/>
  </cols>
  <sheetData>
    <row r="1" customFormat="false" ht="15" hidden="false" customHeight="true" outlineLevel="0" collapsed="false">
      <c r="A1" s="13" t="s">
        <v>41</v>
      </c>
      <c r="B1" s="13" t="s">
        <v>42</v>
      </c>
      <c r="C1" s="13" t="s">
        <v>196</v>
      </c>
      <c r="D1" s="13" t="s">
        <v>197</v>
      </c>
      <c r="E1" s="13" t="s">
        <v>198</v>
      </c>
      <c r="F1" s="13" t="s">
        <v>199</v>
      </c>
      <c r="G1" s="13" t="s">
        <v>200</v>
      </c>
      <c r="H1" s="13" t="s">
        <v>201</v>
      </c>
      <c r="I1" s="13" t="s">
        <v>202</v>
      </c>
      <c r="J1" s="13" t="s">
        <v>203</v>
      </c>
      <c r="K1" s="13" t="s">
        <v>204</v>
      </c>
      <c r="L1" s="13" t="s">
        <v>205</v>
      </c>
      <c r="M1" s="13" t="s">
        <v>206</v>
      </c>
      <c r="N1" s="13" t="s">
        <v>207</v>
      </c>
    </row>
    <row r="2" customFormat="false" ht="15" hidden="false" customHeight="true" outlineLevel="0" collapsed="false">
      <c r="A2" s="5" t="s">
        <v>63</v>
      </c>
      <c r="B2" s="5" t="s">
        <v>64</v>
      </c>
      <c r="C2" s="6" t="n">
        <v>401.03</v>
      </c>
      <c r="D2" s="6" t="n">
        <v>7276.53</v>
      </c>
      <c r="E2" s="6" t="n">
        <v>-520.04</v>
      </c>
      <c r="F2" s="6" t="n">
        <v>13.28</v>
      </c>
      <c r="G2" s="6" t="n">
        <v>6769.77</v>
      </c>
      <c r="H2" s="6" t="n">
        <v>1692.44</v>
      </c>
      <c r="I2" s="6" t="n">
        <v>8462.21</v>
      </c>
      <c r="J2" s="6" t="n">
        <v>783.1</v>
      </c>
      <c r="K2" s="6" t="n">
        <f aca="false">ROUND(SUMPRODUCT((Transactions!$A$2:$A$86=A2)*(Transactions!$B$2:$B$86=B2)*Transactions!$N$2:$N$86),2)</f>
        <v>6769.77</v>
      </c>
      <c r="L2" s="6" t="n">
        <f aca="false">ROUND(SUMPRODUCT((Transactions!$A$2:$A$86=A2)*(Transactions!$B$2:$B$86=B2)*Transactions!$P$2:$P$86),2)</f>
        <v>8462.21</v>
      </c>
      <c r="M2" s="6" t="n">
        <f aca="false">ROUND(SUMPRODUCT((Transactions!$A$2:$A$86=A2)*(Transactions!$B$2:$B$86=B2)*Transactions!$Q$2:$Q$86),2)</f>
        <v>783.1</v>
      </c>
      <c r="N2" s="5" t="str">
        <f aca="false">IF(AND(ABS(K2-G2)&lt;=0.02,ABS(L2-I2)&lt;=0.02,ABS(M2-J2)&lt;=0.02),"OK","CHECK")</f>
        <v>OK</v>
      </c>
    </row>
    <row r="3" customFormat="false" ht="15" hidden="false" customHeight="true" outlineLevel="0" collapsed="false">
      <c r="A3" s="5" t="s">
        <v>63</v>
      </c>
      <c r="B3" s="5" t="s">
        <v>75</v>
      </c>
      <c r="C3" s="6" t="n">
        <v>1</v>
      </c>
      <c r="D3" s="6" t="n">
        <v>236</v>
      </c>
      <c r="E3" s="6" t="n">
        <v>0</v>
      </c>
      <c r="F3" s="6" t="n">
        <v>13.28</v>
      </c>
      <c r="G3" s="6" t="n">
        <v>249.28</v>
      </c>
      <c r="H3" s="6" t="n">
        <v>62.32</v>
      </c>
      <c r="I3" s="6" t="n">
        <v>311.6</v>
      </c>
      <c r="J3" s="6" t="n">
        <v>28.83</v>
      </c>
      <c r="K3" s="6" t="n">
        <f aca="false">ROUND(SUMPRODUCT((Transactions!$A$2:$A$86=A3)*(Transactions!$B$2:$B$86=B3)*Transactions!$N$2:$N$86),2)</f>
        <v>249.28</v>
      </c>
      <c r="L3" s="6" t="n">
        <f aca="false">ROUND(SUMPRODUCT((Transactions!$A$2:$A$86=A3)*(Transactions!$B$2:$B$86=B3)*Transactions!$P$2:$P$86),2)</f>
        <v>311.6</v>
      </c>
      <c r="M3" s="6" t="n">
        <f aca="false">ROUND(SUMPRODUCT((Transactions!$A$2:$A$86=A3)*(Transactions!$B$2:$B$86=B3)*Transactions!$Q$2:$Q$86),2)</f>
        <v>28.83</v>
      </c>
      <c r="N3" s="5" t="str">
        <f aca="false">IF(AND(ABS(K3-G3)&lt;=0.02,ABS(L3-I3)&lt;=0.02,ABS(M3-J3)&lt;=0.02),"OK","CHECK")</f>
        <v>OK</v>
      </c>
    </row>
    <row r="4" customFormat="false" ht="15" hidden="false" customHeight="true" outlineLevel="0" collapsed="false">
      <c r="A4" s="5" t="s">
        <v>63</v>
      </c>
      <c r="B4" s="5" t="s">
        <v>77</v>
      </c>
      <c r="C4" s="6" t="n">
        <v>853.42</v>
      </c>
      <c r="D4" s="6" t="n">
        <v>14859.32</v>
      </c>
      <c r="E4" s="6" t="n">
        <v>-1108.06</v>
      </c>
      <c r="F4" s="6" t="n">
        <v>0</v>
      </c>
      <c r="G4" s="6" t="n">
        <v>13751.26</v>
      </c>
      <c r="H4" s="6" t="n">
        <v>3437.82</v>
      </c>
      <c r="I4" s="6" t="n">
        <v>17189.08</v>
      </c>
      <c r="J4" s="6" t="n">
        <v>1593.38</v>
      </c>
      <c r="K4" s="6" t="n">
        <f aca="false">ROUND(SUMPRODUCT((Transactions!$A$2:$A$86=A4)*(Transactions!$B$2:$B$86=B4)*Transactions!$N$2:$N$86),2)</f>
        <v>13751.26</v>
      </c>
      <c r="L4" s="6" t="n">
        <f aca="false">ROUND(SUMPRODUCT((Transactions!$A$2:$A$86=A4)*(Transactions!$B$2:$B$86=B4)*Transactions!$P$2:$P$86),2)</f>
        <v>17189.08</v>
      </c>
      <c r="M4" s="6" t="n">
        <f aca="false">ROUND(SUMPRODUCT((Transactions!$A$2:$A$86=A4)*(Transactions!$B$2:$B$86=B4)*Transactions!$Q$2:$Q$86),2)</f>
        <v>1593.38</v>
      </c>
      <c r="N4" s="5" t="str">
        <f aca="false">IF(AND(ABS(K4-G4)&lt;=0.02,ABS(L4-I4)&lt;=0.02,ABS(M4-J4)&lt;=0.02),"OK","CHECK")</f>
        <v>OK</v>
      </c>
    </row>
    <row r="5" customFormat="false" ht="15" hidden="false" customHeight="true" outlineLevel="0" collapsed="false">
      <c r="A5" s="5" t="s">
        <v>63</v>
      </c>
      <c r="B5" s="5" t="s">
        <v>84</v>
      </c>
      <c r="C5" s="6" t="n">
        <v>1236.81</v>
      </c>
      <c r="D5" s="6" t="n">
        <v>20850.28</v>
      </c>
      <c r="E5" s="6" t="n">
        <v>-1601.27</v>
      </c>
      <c r="F5" s="6" t="n">
        <v>13.28</v>
      </c>
      <c r="G5" s="6" t="n">
        <v>19262.29</v>
      </c>
      <c r="H5" s="6" t="n">
        <v>4815.58</v>
      </c>
      <c r="I5" s="6" t="n">
        <v>24077.87</v>
      </c>
      <c r="J5" s="6" t="n">
        <v>2212.89</v>
      </c>
      <c r="K5" s="6" t="n">
        <f aca="false">ROUND(SUMPRODUCT((Transactions!$A$2:$A$86=A5)*(Transactions!$B$2:$B$86=B5)*Transactions!$N$2:$N$86),2)</f>
        <v>19262.29</v>
      </c>
      <c r="L5" s="6" t="n">
        <f aca="false">ROUND(SUMPRODUCT((Transactions!$A$2:$A$86=A5)*(Transactions!$B$2:$B$86=B5)*Transactions!$P$2:$P$86),2)</f>
        <v>24077.87</v>
      </c>
      <c r="M5" s="6" t="n">
        <f aca="false">ROUND(SUMPRODUCT((Transactions!$A$2:$A$86=A5)*(Transactions!$B$2:$B$86=B5)*Transactions!$Q$2:$Q$86),2)</f>
        <v>2212.89</v>
      </c>
      <c r="N5" s="5" t="str">
        <f aca="false">IF(AND(ABS(K5-G5)&lt;=0.02,ABS(L5-I5)&lt;=0.02,ABS(M5-J5)&lt;=0.02),"OK","CHECK")</f>
        <v>OK</v>
      </c>
    </row>
    <row r="6" customFormat="false" ht="15" hidden="false" customHeight="true" outlineLevel="0" collapsed="false">
      <c r="A6" s="5" t="s">
        <v>63</v>
      </c>
      <c r="B6" s="5" t="s">
        <v>94</v>
      </c>
      <c r="C6" s="6" t="n">
        <v>642</v>
      </c>
      <c r="D6" s="6" t="n">
        <v>10621.34</v>
      </c>
      <c r="E6" s="6" t="n">
        <v>-832.04</v>
      </c>
      <c r="F6" s="6" t="n">
        <v>0</v>
      </c>
      <c r="G6" s="6" t="n">
        <v>9789.3</v>
      </c>
      <c r="H6" s="6" t="n">
        <v>2447.33</v>
      </c>
      <c r="I6" s="6" t="n">
        <v>12236.63</v>
      </c>
      <c r="J6" s="6" t="n">
        <v>1134.56</v>
      </c>
      <c r="K6" s="6" t="n">
        <f aca="false">ROUND(SUMPRODUCT((Transactions!$A$2:$A$86=A6)*(Transactions!$B$2:$B$86=B6)*Transactions!$N$2:$N$86),2)</f>
        <v>9789.3</v>
      </c>
      <c r="L6" s="6" t="n">
        <f aca="false">ROUND(SUMPRODUCT((Transactions!$A$2:$A$86=A6)*(Transactions!$B$2:$B$86=B6)*Transactions!$P$2:$P$86),2)</f>
        <v>12236.63</v>
      </c>
      <c r="M6" s="6" t="n">
        <f aca="false">ROUND(SUMPRODUCT((Transactions!$A$2:$A$86=A6)*(Transactions!$B$2:$B$86=B6)*Transactions!$Q$2:$Q$86),2)</f>
        <v>1134.56</v>
      </c>
      <c r="N6" s="5" t="str">
        <f aca="false">IF(AND(ABS(K6-G6)&lt;=0.02,ABS(L6-I6)&lt;=0.02,ABS(M6-J6)&lt;=0.02),"OK","CHECK")</f>
        <v>OK</v>
      </c>
    </row>
    <row r="7" customFormat="false" ht="15" hidden="false" customHeight="true" outlineLevel="0" collapsed="false">
      <c r="A7" s="5" t="s">
        <v>63</v>
      </c>
      <c r="B7" s="5" t="s">
        <v>99</v>
      </c>
      <c r="C7" s="6" t="n">
        <v>1196.64</v>
      </c>
      <c r="D7" s="6" t="n">
        <v>21520.46</v>
      </c>
      <c r="E7" s="6" t="n">
        <v>-1554.33</v>
      </c>
      <c r="F7" s="6" t="n">
        <v>44.55</v>
      </c>
      <c r="G7" s="6" t="n">
        <v>20010.68</v>
      </c>
      <c r="H7" s="6" t="n">
        <v>5002.67</v>
      </c>
      <c r="I7" s="6" t="n">
        <v>25013.35</v>
      </c>
      <c r="J7" s="6" t="n">
        <v>2311.91</v>
      </c>
      <c r="K7" s="6" t="n">
        <f aca="false">ROUND(SUMPRODUCT((Transactions!$A$2:$A$86=A7)*(Transactions!$B$2:$B$86=B7)*Transactions!$N$2:$N$86),2)</f>
        <v>20010.68</v>
      </c>
      <c r="L7" s="6" t="n">
        <f aca="false">ROUND(SUMPRODUCT((Transactions!$A$2:$A$86=A7)*(Transactions!$B$2:$B$86=B7)*Transactions!$P$2:$P$86),2)</f>
        <v>25013.35</v>
      </c>
      <c r="M7" s="6" t="n">
        <f aca="false">ROUND(SUMPRODUCT((Transactions!$A$2:$A$86=A7)*(Transactions!$B$2:$B$86=B7)*Transactions!$Q$2:$Q$86),2)</f>
        <v>2311.91</v>
      </c>
      <c r="N7" s="5" t="str">
        <f aca="false">IF(AND(ABS(K7-G7)&lt;=0.02,ABS(L7-I7)&lt;=0.02,ABS(M7-J7)&lt;=0.02),"OK","CHECK")</f>
        <v>OK</v>
      </c>
    </row>
    <row r="8" customFormat="false" ht="15" hidden="false" customHeight="true" outlineLevel="0" collapsed="false">
      <c r="A8" s="5" t="s">
        <v>63</v>
      </c>
      <c r="B8" s="5" t="s">
        <v>108</v>
      </c>
      <c r="C8" s="6" t="n">
        <v>1419.52</v>
      </c>
      <c r="D8" s="6" t="n">
        <v>24327.51</v>
      </c>
      <c r="E8" s="6" t="n">
        <v>-1841.64</v>
      </c>
      <c r="F8" s="6" t="n">
        <v>0</v>
      </c>
      <c r="G8" s="6" t="n">
        <v>22485.87</v>
      </c>
      <c r="H8" s="6" t="n">
        <v>5621.47</v>
      </c>
      <c r="I8" s="6" t="n">
        <v>28107.34</v>
      </c>
      <c r="J8" s="6" t="n">
        <v>2600.77</v>
      </c>
      <c r="K8" s="6" t="n">
        <f aca="false">ROUND(SUMPRODUCT((Transactions!$A$2:$A$86=A8)*(Transactions!$B$2:$B$86=B8)*Transactions!$N$2:$N$86),2)</f>
        <v>22485.87</v>
      </c>
      <c r="L8" s="6" t="n">
        <f aca="false">ROUND(SUMPRODUCT((Transactions!$A$2:$A$86=A8)*(Transactions!$B$2:$B$86=B8)*Transactions!$P$2:$P$86),2)</f>
        <v>28107.34</v>
      </c>
      <c r="M8" s="6" t="n">
        <f aca="false">ROUND(SUMPRODUCT((Transactions!$A$2:$A$86=A8)*(Transactions!$B$2:$B$86=B8)*Transactions!$Q$2:$Q$86),2)</f>
        <v>2600.77</v>
      </c>
      <c r="N8" s="5" t="str">
        <f aca="false">IF(AND(ABS(K8-G8)&lt;=0.02,ABS(L8-I8)&lt;=0.02,ABS(M8-J8)&lt;=0.02),"OK","CHECK")</f>
        <v>OK</v>
      </c>
    </row>
    <row r="9" customFormat="false" ht="15" hidden="false" customHeight="true" outlineLevel="0" collapsed="false">
      <c r="A9" s="5" t="s">
        <v>63</v>
      </c>
      <c r="B9" s="5" t="s">
        <v>114</v>
      </c>
      <c r="C9" s="6" t="n">
        <v>2</v>
      </c>
      <c r="D9" s="6" t="n">
        <v>216</v>
      </c>
      <c r="E9" s="6" t="n">
        <v>0</v>
      </c>
      <c r="F9" s="6" t="n">
        <v>12.15</v>
      </c>
      <c r="G9" s="6" t="n">
        <v>228.15</v>
      </c>
      <c r="H9" s="6" t="n">
        <v>57.04</v>
      </c>
      <c r="I9" s="6" t="n">
        <v>285.19</v>
      </c>
      <c r="J9" s="6" t="n">
        <v>26.42</v>
      </c>
      <c r="K9" s="6" t="n">
        <f aca="false">ROUND(SUMPRODUCT((Transactions!$A$2:$A$86=A9)*(Transactions!$B$2:$B$86=B9)*Transactions!$N$2:$N$86),2)</f>
        <v>228.15</v>
      </c>
      <c r="L9" s="6" t="n">
        <f aca="false">ROUND(SUMPRODUCT((Transactions!$A$2:$A$86=A9)*(Transactions!$B$2:$B$86=B9)*Transactions!$P$2:$P$86),2)</f>
        <v>285.19</v>
      </c>
      <c r="M9" s="6" t="n">
        <f aca="false">ROUND(SUMPRODUCT((Transactions!$A$2:$A$86=A9)*(Transactions!$B$2:$B$86=B9)*Transactions!$Q$2:$Q$86),2)</f>
        <v>26.42</v>
      </c>
      <c r="N9" s="5" t="str">
        <f aca="false">IF(AND(ABS(K9-G9)&lt;=0.02,ABS(L9-I9)&lt;=0.02,ABS(M9-J9)&lt;=0.02),"OK","CHECK")</f>
        <v>OK</v>
      </c>
    </row>
    <row r="10" customFormat="false" ht="15" hidden="false" customHeight="true" outlineLevel="0" collapsed="false">
      <c r="A10" s="5" t="s">
        <v>63</v>
      </c>
      <c r="B10" s="5" t="s">
        <v>121</v>
      </c>
      <c r="C10" s="6" t="n">
        <v>1264.63</v>
      </c>
      <c r="D10" s="6" t="n">
        <v>21936.52</v>
      </c>
      <c r="E10" s="6" t="n">
        <v>-1644.02</v>
      </c>
      <c r="F10" s="6" t="n">
        <v>0</v>
      </c>
      <c r="G10" s="6" t="n">
        <v>20292.5</v>
      </c>
      <c r="H10" s="6" t="n">
        <v>5073.13</v>
      </c>
      <c r="I10" s="6" t="n">
        <v>25365.63</v>
      </c>
      <c r="J10" s="6" t="n">
        <v>2346.81</v>
      </c>
      <c r="K10" s="6" t="n">
        <f aca="false">ROUND(SUMPRODUCT((Transactions!$A$2:$A$86=A10)*(Transactions!$B$2:$B$86=B10)*Transactions!$N$2:$N$86),2)</f>
        <v>20292.5</v>
      </c>
      <c r="L10" s="6" t="n">
        <f aca="false">ROUND(SUMPRODUCT((Transactions!$A$2:$A$86=A10)*(Transactions!$B$2:$B$86=B10)*Transactions!$P$2:$P$86),2)</f>
        <v>25365.63</v>
      </c>
      <c r="M10" s="6" t="n">
        <f aca="false">ROUND(SUMPRODUCT((Transactions!$A$2:$A$86=A10)*(Transactions!$B$2:$B$86=B10)*Transactions!$Q$2:$Q$86),2)</f>
        <v>2346.81</v>
      </c>
      <c r="N10" s="5" t="str">
        <f aca="false">IF(AND(ABS(K10-G10)&lt;=0.02,ABS(L10-I10)&lt;=0.02,ABS(M10-J10)&lt;=0.02),"OK","CHECK")</f>
        <v>OK</v>
      </c>
    </row>
    <row r="11" customFormat="false" ht="15" hidden="false" customHeight="true" outlineLevel="0" collapsed="false">
      <c r="A11" s="5" t="s">
        <v>63</v>
      </c>
      <c r="B11" s="5" t="s">
        <v>126</v>
      </c>
      <c r="C11" s="6" t="n">
        <v>995.49</v>
      </c>
      <c r="D11" s="6" t="n">
        <v>16522.03</v>
      </c>
      <c r="E11" s="6" t="n">
        <v>-1288.93</v>
      </c>
      <c r="F11" s="6" t="n">
        <v>0</v>
      </c>
      <c r="G11" s="6" t="n">
        <v>15233.1</v>
      </c>
      <c r="H11" s="6" t="n">
        <v>3808.28</v>
      </c>
      <c r="I11" s="6" t="n">
        <v>19041.38</v>
      </c>
      <c r="J11" s="6" t="n">
        <v>1755.47</v>
      </c>
      <c r="K11" s="6" t="n">
        <f aca="false">ROUND(SUMPRODUCT((Transactions!$A$2:$A$86=A11)*(Transactions!$B$2:$B$86=B11)*Transactions!$N$2:$N$86),2)</f>
        <v>15233.1</v>
      </c>
      <c r="L11" s="6" t="n">
        <f aca="false">ROUND(SUMPRODUCT((Transactions!$A$2:$A$86=A11)*(Transactions!$B$2:$B$86=B11)*Transactions!$P$2:$P$86),2)</f>
        <v>19041.38</v>
      </c>
      <c r="M11" s="6" t="n">
        <f aca="false">ROUND(SUMPRODUCT((Transactions!$A$2:$A$86=A11)*(Transactions!$B$2:$B$86=B11)*Transactions!$Q$2:$Q$86),2)</f>
        <v>1755.47</v>
      </c>
      <c r="N11" s="5" t="str">
        <f aca="false">IF(AND(ABS(K11-G11)&lt;=0.02,ABS(L11-I11)&lt;=0.02,ABS(M11-J11)&lt;=0.02),"OK","CHECK")</f>
        <v>OK</v>
      </c>
    </row>
    <row r="12" customFormat="false" ht="15" hidden="false" customHeight="true" outlineLevel="0" collapsed="false">
      <c r="A12" s="5" t="s">
        <v>63</v>
      </c>
      <c r="B12" s="5" t="s">
        <v>131</v>
      </c>
      <c r="C12" s="6" t="n">
        <v>1168.4</v>
      </c>
      <c r="D12" s="6" t="n">
        <v>19844.55</v>
      </c>
      <c r="E12" s="6" t="n">
        <v>-1514.56</v>
      </c>
      <c r="F12" s="6" t="n">
        <v>0</v>
      </c>
      <c r="G12" s="6" t="n">
        <v>18329.99</v>
      </c>
      <c r="H12" s="6" t="n">
        <v>4582.46</v>
      </c>
      <c r="I12" s="6" t="n">
        <v>22912.45</v>
      </c>
      <c r="J12" s="6" t="n">
        <v>2116.67</v>
      </c>
      <c r="K12" s="6" t="n">
        <f aca="false">ROUND(SUMPRODUCT((Transactions!$A$2:$A$86=A12)*(Transactions!$B$2:$B$86=B12)*Transactions!$N$2:$N$86),2)</f>
        <v>18329.99</v>
      </c>
      <c r="L12" s="6" t="n">
        <f aca="false">ROUND(SUMPRODUCT((Transactions!$A$2:$A$86=A12)*(Transactions!$B$2:$B$86=B12)*Transactions!$P$2:$P$86),2)</f>
        <v>22912.45</v>
      </c>
      <c r="M12" s="6" t="n">
        <f aca="false">ROUND(SUMPRODUCT((Transactions!$A$2:$A$86=A12)*(Transactions!$B$2:$B$86=B12)*Transactions!$Q$2:$Q$86),2)</f>
        <v>2116.67</v>
      </c>
      <c r="N12" s="5" t="str">
        <f aca="false">IF(AND(ABS(K12-G12)&lt;=0.02,ABS(L12-I12)&lt;=0.02,ABS(M12-J12)&lt;=0.02),"OK","CHECK")</f>
        <v>OK</v>
      </c>
    </row>
    <row r="13" customFormat="false" ht="15" hidden="false" customHeight="true" outlineLevel="0" collapsed="false">
      <c r="A13" s="5" t="s">
        <v>63</v>
      </c>
      <c r="B13" s="5" t="s">
        <v>139</v>
      </c>
      <c r="C13" s="6" t="n">
        <v>1586.63</v>
      </c>
      <c r="D13" s="6" t="n">
        <v>26926.25</v>
      </c>
      <c r="E13" s="6" t="n">
        <v>-2056.83</v>
      </c>
      <c r="F13" s="6" t="n">
        <v>0</v>
      </c>
      <c r="G13" s="6" t="n">
        <v>24869.42</v>
      </c>
      <c r="H13" s="6" t="n">
        <v>6217.36</v>
      </c>
      <c r="I13" s="6" t="n">
        <v>31086.78</v>
      </c>
      <c r="J13" s="6" t="n">
        <v>2868.45</v>
      </c>
      <c r="K13" s="6" t="n">
        <f aca="false">ROUND(SUMPRODUCT((Transactions!$A$2:$A$86=A13)*(Transactions!$B$2:$B$86=B13)*Transactions!$N$2:$N$86),2)</f>
        <v>24869.42</v>
      </c>
      <c r="L13" s="6" t="n">
        <f aca="false">ROUND(SUMPRODUCT((Transactions!$A$2:$A$86=A13)*(Transactions!$B$2:$B$86=B13)*Transactions!$P$2:$P$86),2)</f>
        <v>31086.78</v>
      </c>
      <c r="M13" s="6" t="n">
        <f aca="false">ROUND(SUMPRODUCT((Transactions!$A$2:$A$86=A13)*(Transactions!$B$2:$B$86=B13)*Transactions!$Q$2:$Q$86),2)</f>
        <v>2868.45</v>
      </c>
      <c r="N13" s="5" t="str">
        <f aca="false">IF(AND(ABS(K13-G13)&lt;=0.02,ABS(L13-I13)&lt;=0.02,ABS(M13-J13)&lt;=0.02),"OK","CHECK")</f>
        <v>OK</v>
      </c>
    </row>
    <row r="14" customFormat="false" ht="15" hidden="false" customHeight="true" outlineLevel="0" collapsed="false">
      <c r="A14" s="5" t="s">
        <v>146</v>
      </c>
      <c r="B14" s="5" t="s">
        <v>64</v>
      </c>
      <c r="C14" s="6" t="n">
        <v>730.54</v>
      </c>
      <c r="D14" s="6" t="n">
        <v>12041.46</v>
      </c>
      <c r="E14" s="6" t="n">
        <v>-947.26</v>
      </c>
      <c r="F14" s="6" t="n">
        <v>0</v>
      </c>
      <c r="G14" s="6" t="n">
        <v>11094.2</v>
      </c>
      <c r="H14" s="6" t="n">
        <v>2773.55</v>
      </c>
      <c r="I14" s="6" t="n">
        <v>13867.75</v>
      </c>
      <c r="J14" s="6" t="n">
        <v>1277.64</v>
      </c>
      <c r="K14" s="6" t="n">
        <f aca="false">ROUND(SUMPRODUCT((Transactions!$A$2:$A$86=A14)*(Transactions!$B$2:$B$86=B14)*Transactions!$N$2:$N$86),2)</f>
        <v>11094.2</v>
      </c>
      <c r="L14" s="6" t="n">
        <f aca="false">ROUND(SUMPRODUCT((Transactions!$A$2:$A$86=A14)*(Transactions!$B$2:$B$86=B14)*Transactions!$P$2:$P$86),2)</f>
        <v>13867.75</v>
      </c>
      <c r="M14" s="6" t="n">
        <f aca="false">ROUND(SUMPRODUCT((Transactions!$A$2:$A$86=A14)*(Transactions!$B$2:$B$86=B14)*Transactions!$Q$2:$Q$86),2)</f>
        <v>1277.64</v>
      </c>
      <c r="N14" s="5" t="str">
        <f aca="false">IF(AND(ABS(K14-G14)&lt;=0.02,ABS(L14-I14)&lt;=0.02,ABS(M14-J14)&lt;=0.02),"OK","CHECK")</f>
        <v>OK</v>
      </c>
    </row>
    <row r="15" customFormat="false" ht="15" hidden="false" customHeight="true" outlineLevel="0" collapsed="false">
      <c r="A15" s="5" t="s">
        <v>146</v>
      </c>
      <c r="B15" s="5" t="s">
        <v>151</v>
      </c>
      <c r="C15" s="6" t="n">
        <v>1834.19</v>
      </c>
      <c r="D15" s="6" t="n">
        <v>31748.95</v>
      </c>
      <c r="E15" s="6" t="n">
        <v>-2374.82</v>
      </c>
      <c r="F15" s="6" t="n">
        <v>74.8</v>
      </c>
      <c r="G15" s="6" t="n">
        <v>29448.93</v>
      </c>
      <c r="H15" s="6" t="n">
        <v>7362.19</v>
      </c>
      <c r="I15" s="6" t="n">
        <v>36811.12</v>
      </c>
      <c r="J15" s="6" t="n">
        <v>3406.7</v>
      </c>
      <c r="K15" s="6" t="n">
        <f aca="false">ROUND(SUMPRODUCT((Transactions!$A$2:$A$86=A15)*(Transactions!$B$2:$B$86=B15)*Transactions!$N$2:$N$86),2)</f>
        <v>29448.93</v>
      </c>
      <c r="L15" s="6" t="n">
        <f aca="false">ROUND(SUMPRODUCT((Transactions!$A$2:$A$86=A15)*(Transactions!$B$2:$B$86=B15)*Transactions!$P$2:$P$86),2)</f>
        <v>36811.12</v>
      </c>
      <c r="M15" s="6" t="n">
        <f aca="false">ROUND(SUMPRODUCT((Transactions!$A$2:$A$86=A15)*(Transactions!$B$2:$B$86=B15)*Transactions!$Q$2:$Q$86),2)</f>
        <v>3406.7</v>
      </c>
      <c r="N15" s="5" t="str">
        <f aca="false">IF(AND(ABS(K15-G15)&lt;=0.02,ABS(L15-I15)&lt;=0.02,ABS(M15-J15)&lt;=0.02),"OK","CHECK")</f>
        <v>OK</v>
      </c>
    </row>
    <row r="16" customFormat="false" ht="15" hidden="false" customHeight="true" outlineLevel="0" collapsed="false">
      <c r="A16" s="5" t="s">
        <v>146</v>
      </c>
      <c r="B16" s="5" t="s">
        <v>165</v>
      </c>
      <c r="C16" s="6" t="n">
        <v>350</v>
      </c>
      <c r="D16" s="6" t="n">
        <v>6006</v>
      </c>
      <c r="E16" s="6" t="n">
        <v>-455</v>
      </c>
      <c r="F16" s="6" t="n">
        <v>0</v>
      </c>
      <c r="G16" s="6" t="n">
        <v>5551</v>
      </c>
      <c r="H16" s="6" t="n">
        <v>1387.75</v>
      </c>
      <c r="I16" s="6" t="n">
        <v>6938.75</v>
      </c>
      <c r="J16" s="6" t="n">
        <v>646.7</v>
      </c>
      <c r="K16" s="6" t="n">
        <f aca="false">ROUND(SUMPRODUCT((Transactions!$A$2:$A$86=A16)*(Transactions!$B$2:$B$86=B16)*Transactions!$N$2:$N$86),2)</f>
        <v>5551</v>
      </c>
      <c r="L16" s="6" t="n">
        <f aca="false">ROUND(SUMPRODUCT((Transactions!$A$2:$A$86=A16)*(Transactions!$B$2:$B$86=B16)*Transactions!$P$2:$P$86),2)</f>
        <v>6938.75</v>
      </c>
      <c r="M16" s="6" t="n">
        <f aca="false">ROUND(SUMPRODUCT((Transactions!$A$2:$A$86=A16)*(Transactions!$B$2:$B$86=B16)*Transactions!$Q$2:$Q$86),2)</f>
        <v>646.7</v>
      </c>
      <c r="N16" s="5" t="str">
        <f aca="false">IF(AND(ABS(K16-G16)&lt;=0.02,ABS(L16-I16)&lt;=0.02,ABS(M16-J16)&lt;=0.02),"OK","CHECK")</f>
        <v>OK</v>
      </c>
    </row>
    <row r="17" customFormat="false" ht="15" hidden="false" customHeight="true" outlineLevel="0" collapsed="false">
      <c r="A17" s="5" t="s">
        <v>146</v>
      </c>
      <c r="B17" s="5" t="s">
        <v>108</v>
      </c>
      <c r="C17" s="6" t="n">
        <v>1507.23</v>
      </c>
      <c r="D17" s="6" t="n">
        <v>25675.75</v>
      </c>
      <c r="E17" s="6" t="n">
        <v>-1946.57</v>
      </c>
      <c r="F17" s="6" t="n">
        <v>54.69</v>
      </c>
      <c r="G17" s="6" t="n">
        <v>23783.87</v>
      </c>
      <c r="H17" s="6" t="n">
        <v>5945.98</v>
      </c>
      <c r="I17" s="6" t="n">
        <v>29729.85</v>
      </c>
      <c r="J17" s="6" t="n">
        <v>2747.07</v>
      </c>
      <c r="K17" s="6" t="n">
        <f aca="false">ROUND(SUMPRODUCT((Transactions!$A$2:$A$86=A17)*(Transactions!$B$2:$B$86=B17)*Transactions!$N$2:$N$86),2)</f>
        <v>23783.87</v>
      </c>
      <c r="L17" s="6" t="n">
        <f aca="false">ROUND(SUMPRODUCT((Transactions!$A$2:$A$86=A17)*(Transactions!$B$2:$B$86=B17)*Transactions!$P$2:$P$86),2)</f>
        <v>29729.85</v>
      </c>
      <c r="M17" s="6" t="n">
        <f aca="false">ROUND(SUMPRODUCT((Transactions!$A$2:$A$86=A17)*(Transactions!$B$2:$B$86=B17)*Transactions!$Q$2:$Q$86),2)</f>
        <v>2747.07</v>
      </c>
      <c r="N17" s="5" t="str">
        <f aca="false">IF(AND(ABS(K17-G17)&lt;=0.02,ABS(L17-I17)&lt;=0.02,ABS(M17-J17)&lt;=0.02),"OK","CHECK")</f>
        <v>OK</v>
      </c>
    </row>
    <row r="18" customFormat="false" ht="15" hidden="false" customHeight="true" outlineLevel="0" collapsed="false">
      <c r="A18" s="5" t="s">
        <v>146</v>
      </c>
      <c r="B18" s="5" t="s">
        <v>181</v>
      </c>
      <c r="C18" s="6" t="n">
        <v>265.72</v>
      </c>
      <c r="D18" s="6" t="n">
        <v>4559.75</v>
      </c>
      <c r="E18" s="6" t="n">
        <v>-345.44</v>
      </c>
      <c r="F18" s="6" t="n">
        <v>0</v>
      </c>
      <c r="G18" s="6" t="n">
        <v>4214.31</v>
      </c>
      <c r="H18" s="6" t="n">
        <v>1053.58</v>
      </c>
      <c r="I18" s="6" t="n">
        <v>5267.89</v>
      </c>
      <c r="J18" s="6" t="n">
        <v>490.97</v>
      </c>
      <c r="K18" s="6" t="n">
        <f aca="false">ROUND(SUMPRODUCT((Transactions!$A$2:$A$86=A18)*(Transactions!$B$2:$B$86=B18)*Transactions!$N$2:$N$86),2)</f>
        <v>4214.31</v>
      </c>
      <c r="L18" s="6" t="n">
        <f aca="false">ROUND(SUMPRODUCT((Transactions!$A$2:$A$86=A18)*(Transactions!$B$2:$B$86=B18)*Transactions!$P$2:$P$86),2)</f>
        <v>5267.89</v>
      </c>
      <c r="M18" s="6" t="n">
        <f aca="false">ROUND(SUMPRODUCT((Transactions!$A$2:$A$86=A18)*(Transactions!$B$2:$B$86=B18)*Transactions!$Q$2:$Q$86),2)</f>
        <v>490.97</v>
      </c>
      <c r="N18" s="5" t="str">
        <f aca="false">IF(AND(ABS(K18-G18)&lt;=0.02,ABS(L18-I18)&lt;=0.02,ABS(M18-J18)&lt;=0.02),"OK","CHECK")</f>
        <v>OK</v>
      </c>
    </row>
    <row r="19" customFormat="false" ht="15" hidden="false" customHeight="true" outlineLevel="0" collapsed="false">
      <c r="A19" s="5" t="s">
        <v>146</v>
      </c>
      <c r="B19" s="5" t="s">
        <v>183</v>
      </c>
      <c r="C19" s="6" t="n">
        <v>1</v>
      </c>
      <c r="D19" s="6" t="n">
        <v>112</v>
      </c>
      <c r="E19" s="6" t="n">
        <v>0</v>
      </c>
      <c r="F19" s="6" t="n">
        <v>6.3</v>
      </c>
      <c r="G19" s="6" t="n">
        <v>118.3</v>
      </c>
      <c r="H19" s="6" t="n">
        <v>29.58</v>
      </c>
      <c r="I19" s="6" t="n">
        <v>147.88</v>
      </c>
      <c r="J19" s="6" t="n">
        <v>13.6</v>
      </c>
      <c r="K19" s="6" t="n">
        <f aca="false">ROUND(SUMPRODUCT((Transactions!$A$2:$A$86=A19)*(Transactions!$B$2:$B$86=B19)*Transactions!$N$2:$N$86),2)</f>
        <v>118.3</v>
      </c>
      <c r="L19" s="6" t="n">
        <f aca="false">ROUND(SUMPRODUCT((Transactions!$A$2:$A$86=A19)*(Transactions!$B$2:$B$86=B19)*Transactions!$P$2:$P$86),2)</f>
        <v>147.88</v>
      </c>
      <c r="M19" s="6" t="n">
        <f aca="false">ROUND(SUMPRODUCT((Transactions!$A$2:$A$86=A19)*(Transactions!$B$2:$B$86=B19)*Transactions!$Q$2:$Q$86),2)</f>
        <v>13.6</v>
      </c>
      <c r="N19" s="5" t="str">
        <f aca="false">IF(AND(ABS(K19-G19)&lt;=0.02,ABS(L19-I19)&lt;=0.02,ABS(M19-J19)&lt;=0.02),"OK","CHECK")</f>
        <v>OK</v>
      </c>
    </row>
    <row r="20" customFormat="false" ht="15" hidden="false" customHeight="true" outlineLevel="0" collapsed="false">
      <c r="A20" s="5" t="s">
        <v>146</v>
      </c>
      <c r="B20" s="5" t="s">
        <v>126</v>
      </c>
      <c r="C20" s="6" t="n">
        <v>1027.6</v>
      </c>
      <c r="D20" s="6" t="n">
        <v>17054.24</v>
      </c>
      <c r="E20" s="6" t="n">
        <v>-1330.87</v>
      </c>
      <c r="F20" s="6" t="n">
        <v>0</v>
      </c>
      <c r="G20" s="6" t="n">
        <v>15723.37</v>
      </c>
      <c r="H20" s="6" t="n">
        <v>3930.85</v>
      </c>
      <c r="I20" s="6" t="n">
        <v>19654.22</v>
      </c>
      <c r="J20" s="6" t="n">
        <v>1831.77</v>
      </c>
      <c r="K20" s="6" t="n">
        <f aca="false">ROUND(SUMPRODUCT((Transactions!$A$2:$A$86=A20)*(Transactions!$B$2:$B$86=B20)*Transactions!$N$2:$N$86),2)</f>
        <v>15723.37</v>
      </c>
      <c r="L20" s="6" t="n">
        <f aca="false">ROUND(SUMPRODUCT((Transactions!$A$2:$A$86=A20)*(Transactions!$B$2:$B$86=B20)*Transactions!$P$2:$P$86),2)</f>
        <v>19654.22</v>
      </c>
      <c r="M20" s="6" t="n">
        <f aca="false">ROUND(SUMPRODUCT((Transactions!$A$2:$A$86=A20)*(Transactions!$B$2:$B$86=B20)*Transactions!$Q$2:$Q$86),2)</f>
        <v>1831.77</v>
      </c>
      <c r="N20" s="5" t="str">
        <f aca="false">IF(AND(ABS(K20-G20)&lt;=0.02,ABS(L20-I20)&lt;=0.02,ABS(M20-J20)&lt;=0.02),"OK","CHECK")</f>
        <v>OK</v>
      </c>
    </row>
    <row r="21" customFormat="false" ht="15" hidden="false" customHeight="true" outlineLevel="0" collapsed="false">
      <c r="A21" s="5" t="s">
        <v>146</v>
      </c>
      <c r="B21" s="5" t="s">
        <v>131</v>
      </c>
      <c r="C21" s="6" t="n">
        <v>698.86</v>
      </c>
      <c r="D21" s="6" t="n">
        <v>11688.35</v>
      </c>
      <c r="E21" s="6" t="n">
        <v>-905.89</v>
      </c>
      <c r="F21" s="6" t="n">
        <v>0</v>
      </c>
      <c r="G21" s="6" t="n">
        <v>10782.46</v>
      </c>
      <c r="H21" s="6" t="n">
        <v>2695.62</v>
      </c>
      <c r="I21" s="6" t="n">
        <v>13478.08</v>
      </c>
      <c r="J21" s="6" t="n">
        <v>1256.1</v>
      </c>
      <c r="K21" s="6" t="n">
        <f aca="false">ROUND(SUMPRODUCT((Transactions!$A$2:$A$86=A21)*(Transactions!$B$2:$B$86=B21)*Transactions!$N$2:$N$86),2)</f>
        <v>10782.46</v>
      </c>
      <c r="L21" s="6" t="n">
        <f aca="false">ROUND(SUMPRODUCT((Transactions!$A$2:$A$86=A21)*(Transactions!$B$2:$B$86=B21)*Transactions!$P$2:$P$86),2)</f>
        <v>13478.08</v>
      </c>
      <c r="M21" s="6" t="n">
        <f aca="false">ROUND(SUMPRODUCT((Transactions!$A$2:$A$86=A21)*(Transactions!$B$2:$B$86=B21)*Transactions!$Q$2:$Q$86),2)</f>
        <v>1256.1</v>
      </c>
      <c r="N21" s="5" t="str">
        <f aca="false">IF(AND(ABS(K21-G21)&lt;=0.02,ABS(L21-I21)&lt;=0.02,ABS(M21-J21)&lt;=0.02),"OK","CHECK")</f>
        <v>OK</v>
      </c>
    </row>
    <row r="22" customFormat="false" ht="15" hidden="false" customHeight="true" outlineLevel="0" collapsed="false">
      <c r="A22" s="5" t="s">
        <v>146</v>
      </c>
      <c r="B22" s="5" t="s">
        <v>139</v>
      </c>
      <c r="C22" s="6" t="n">
        <v>1165.48</v>
      </c>
      <c r="D22" s="6" t="n">
        <v>19458.53</v>
      </c>
      <c r="E22" s="6" t="n">
        <v>-1510.44</v>
      </c>
      <c r="F22" s="6" t="n">
        <v>0</v>
      </c>
      <c r="G22" s="6" t="n">
        <v>17948.09</v>
      </c>
      <c r="H22" s="6" t="n">
        <v>4487.03</v>
      </c>
      <c r="I22" s="6" t="n">
        <v>22435.12</v>
      </c>
      <c r="J22" s="6" t="n">
        <v>2087.38</v>
      </c>
      <c r="K22" s="6" t="n">
        <f aca="false">ROUND(SUMPRODUCT((Transactions!$A$2:$A$86=A22)*(Transactions!$B$2:$B$86=B22)*Transactions!$N$2:$N$86),2)</f>
        <v>17948.09</v>
      </c>
      <c r="L22" s="6" t="n">
        <f aca="false">ROUND(SUMPRODUCT((Transactions!$A$2:$A$86=A22)*(Transactions!$B$2:$B$86=B22)*Transactions!$P$2:$P$86),2)</f>
        <v>22435.12</v>
      </c>
      <c r="M22" s="6" t="n">
        <f aca="false">ROUND(SUMPRODUCT((Transactions!$A$2:$A$86=A22)*(Transactions!$B$2:$B$86=B22)*Transactions!$Q$2:$Q$86),2)</f>
        <v>2087.38</v>
      </c>
      <c r="N22" s="5" t="str">
        <f aca="false">IF(AND(ABS(K22-G22)&lt;=0.02,ABS(L22-I22)&lt;=0.02,ABS(M22-J22)&lt;=0.02),"OK","CHECK")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4"/>
    <col collapsed="false" customWidth="true" hidden="false" outlineLevel="0" max="4" min="4" style="1" width="9"/>
    <col collapsed="false" customWidth="true" hidden="false" outlineLevel="0" max="5" min="5" style="1" width="8"/>
  </cols>
  <sheetData>
    <row r="1" customFormat="false" ht="15" hidden="false" customHeight="true" outlineLevel="0" collapsed="false">
      <c r="A1" s="14" t="s">
        <v>208</v>
      </c>
      <c r="B1" s="14" t="s">
        <v>209</v>
      </c>
      <c r="C1" s="14" t="s">
        <v>210</v>
      </c>
      <c r="D1" s="14" t="s">
        <v>211</v>
      </c>
      <c r="E1" s="14" t="s">
        <v>207</v>
      </c>
    </row>
    <row r="2" customFormat="false" ht="15" hidden="false" customHeight="true" outlineLevel="0" collapsed="false">
      <c r="A2" s="5" t="s">
        <v>212</v>
      </c>
      <c r="B2" s="6" t="n">
        <v>10407.49</v>
      </c>
      <c r="C2" s="6" t="n">
        <f aca="false">ROUND(SUMPRODUCT((Transactions!$A$2:$A$86="26/651689595")*(Transactions!$G$2:$G$86="DIESEL")*Transactions!$H$2:$H$86),2)</f>
        <v>10407.49</v>
      </c>
      <c r="D2" s="6" t="n">
        <f aca="false">C2-B2</f>
        <v>0</v>
      </c>
      <c r="E2" s="5" t="str">
        <f aca="false">IF(ABS(D2)&lt;=0.02,"OK","CHECK")</f>
        <v>OK</v>
      </c>
    </row>
    <row r="3" customFormat="false" ht="15" hidden="false" customHeight="true" outlineLevel="0" collapsed="false">
      <c r="A3" s="5" t="s">
        <v>213</v>
      </c>
      <c r="B3" s="6" t="n">
        <v>166997.74</v>
      </c>
      <c r="C3" s="6" t="n">
        <f aca="false">ROUND(SUMPRODUCT((Transactions!$A$2:$A$86="26/651689595")*(Transactions!$G$2:$G$86="DIESEL")*Transactions!$N$2:$N$86),2)</f>
        <v>166997.74</v>
      </c>
      <c r="D3" s="6" t="n">
        <f aca="false">C3-B3</f>
        <v>0</v>
      </c>
      <c r="E3" s="5" t="str">
        <f aca="false">IF(ABS(D3)&lt;=0.02,"OK","CHECK")</f>
        <v>OK</v>
      </c>
    </row>
    <row r="4" customFormat="false" ht="15" hidden="false" customHeight="true" outlineLevel="0" collapsed="false">
      <c r="A4" s="5" t="s">
        <v>214</v>
      </c>
      <c r="B4" s="6" t="n">
        <v>354.08</v>
      </c>
      <c r="C4" s="6" t="n">
        <f aca="false">ROUND(SUMPRODUCT((Transactions!$A$2:$A$86="26/651689595")*(Transactions!$G$2:$G$86="ADBLUE")*Transactions!$H$2:$H$86),2)</f>
        <v>354.08</v>
      </c>
      <c r="D4" s="6" t="n">
        <f aca="false">C4-B4</f>
        <v>0</v>
      </c>
      <c r="E4" s="5" t="str">
        <f aca="false">IF(ABS(D4)&lt;=0.02,"OK","CHECK")</f>
        <v>OK</v>
      </c>
    </row>
    <row r="5" customFormat="false" ht="15" hidden="false" customHeight="true" outlineLevel="0" collapsed="false">
      <c r="A5" s="5" t="s">
        <v>215</v>
      </c>
      <c r="B5" s="6" t="n">
        <v>2461.33</v>
      </c>
      <c r="C5" s="6" t="n">
        <f aca="false">ROUND(SUMPRODUCT((Transactions!$A$2:$A$86="26/651689595")*(Transactions!$G$2:$G$86="ADBLUE")*Transactions!$N$2:$N$86),2)</f>
        <v>2461.33</v>
      </c>
      <c r="D5" s="6" t="n">
        <f aca="false">C5-B5</f>
        <v>0</v>
      </c>
      <c r="E5" s="5" t="str">
        <f aca="false">IF(ABS(D5)&lt;=0.02,"OK","CHECK")</f>
        <v>OK</v>
      </c>
    </row>
    <row r="6" customFormat="false" ht="15" hidden="false" customHeight="true" outlineLevel="0" collapsed="false">
      <c r="A6" s="5" t="s">
        <v>216</v>
      </c>
      <c r="B6" s="6" t="n">
        <v>1812.54</v>
      </c>
      <c r="C6" s="6" t="n">
        <f aca="false">ROUND(SUMPRODUCT((Transactions!$A$2:$A$86="26/651689595")*(Transactions!$G$2:$G$86="parking")*Transactions!$N$2:$N$86),2)</f>
        <v>1812.54</v>
      </c>
      <c r="D6" s="6" t="n">
        <f aca="false">C6-B6</f>
        <v>0</v>
      </c>
      <c r="E6" s="5" t="str">
        <f aca="false">IF(ABS(D6)&lt;=0.02,"OK","CHECK")</f>
        <v>OK</v>
      </c>
    </row>
    <row r="7" customFormat="false" ht="15" hidden="false" customHeight="true" outlineLevel="0" collapsed="false">
      <c r="A7" s="5" t="s">
        <v>217</v>
      </c>
      <c r="B7" s="6" t="n">
        <v>171271.61</v>
      </c>
      <c r="C7" s="6" t="n">
        <f aca="false">ROUND(SUMIF(Transactions!$A$2:$A$86,"26/651689595",Transactions!$N$2:$N$86),2)</f>
        <v>171271.61</v>
      </c>
      <c r="D7" s="6" t="n">
        <f aca="false">C7-B7</f>
        <v>0</v>
      </c>
      <c r="E7" s="5" t="str">
        <f aca="false">IF(ABS(D7)&lt;=0.02,"OK","CHECK")</f>
        <v>OK</v>
      </c>
    </row>
    <row r="8" customFormat="false" ht="15" hidden="false" customHeight="true" outlineLevel="0" collapsed="false">
      <c r="A8" s="5" t="s">
        <v>218</v>
      </c>
      <c r="B8" s="6" t="n">
        <v>42817.9</v>
      </c>
      <c r="C8" s="6" t="n">
        <f aca="false">ROUND(SUMIF(Transactions!$A$2:$A$86,"26/651689595",Transactions!$O$2:$O$86),2)</f>
        <v>42817.9</v>
      </c>
      <c r="D8" s="6" t="n">
        <f aca="false">C8-B8</f>
        <v>0</v>
      </c>
      <c r="E8" s="5" t="str">
        <f aca="false">IF(ABS(D8)&lt;=0.02,"OK","CHECK")</f>
        <v>OK</v>
      </c>
    </row>
    <row r="9" customFormat="false" ht="15" hidden="false" customHeight="true" outlineLevel="0" collapsed="false">
      <c r="A9" s="5" t="s">
        <v>219</v>
      </c>
      <c r="B9" s="6" t="n">
        <v>214089.51</v>
      </c>
      <c r="C9" s="6" t="n">
        <f aca="false">ROUND(SUMIF(Transactions!$A$2:$A$86,"26/651689595",Transactions!$P$2:$P$86),2)</f>
        <v>214089.51</v>
      </c>
      <c r="D9" s="6" t="n">
        <f aca="false">C9-B9</f>
        <v>0</v>
      </c>
      <c r="E9" s="5" t="str">
        <f aca="false">IF(ABS(D9)&lt;=0.02,"OK","CHECK")</f>
        <v>OK</v>
      </c>
    </row>
    <row r="10" customFormat="false" ht="15" hidden="false" customHeight="true" outlineLevel="0" collapsed="false">
      <c r="A10" s="5" t="s">
        <v>220</v>
      </c>
      <c r="B10" s="6" t="n">
        <v>19779.26</v>
      </c>
      <c r="C10" s="6" t="n">
        <f aca="false">ROUND(SUMIF(Transactions!$A$2:$A$86,"26/651689595",Transactions!$Q$2:$Q$86),2)</f>
        <v>19779.26</v>
      </c>
      <c r="D10" s="6" t="n">
        <f aca="false">C10-B10</f>
        <v>0</v>
      </c>
      <c r="E10" s="5" t="str">
        <f aca="false">IF(ABS(D10)&lt;=0.02,"OK","CHECK")</f>
        <v>OK</v>
      </c>
    </row>
    <row r="11" customFormat="false" ht="15" hidden="false" customHeight="true" outlineLevel="0" collapsed="false">
      <c r="A11" s="5" t="s">
        <v>221</v>
      </c>
      <c r="B11" s="6" t="n">
        <v>6924.39</v>
      </c>
      <c r="C11" s="6" t="n">
        <f aca="false">ROUND(SUMPRODUCT((Transactions!$A$2:$A$86="26/652169828")*(Transactions!$G$2:$G$86="DIESEL")*Transactions!$H$2:$H$86),2)</f>
        <v>6924.39</v>
      </c>
      <c r="D11" s="6" t="n">
        <f aca="false">C11-B11</f>
        <v>0</v>
      </c>
      <c r="E11" s="5" t="str">
        <f aca="false">IF(ABS(D11)&lt;=0.02,"OK","CHECK")</f>
        <v>OK</v>
      </c>
    </row>
    <row r="12" customFormat="false" ht="15" hidden="false" customHeight="true" outlineLevel="0" collapsed="false">
      <c r="A12" s="5" t="s">
        <v>222</v>
      </c>
      <c r="B12" s="6" t="n">
        <v>109108.85</v>
      </c>
      <c r="C12" s="6" t="n">
        <f aca="false">ROUND(SUMPRODUCT((Transactions!$A$2:$A$86="26/652169828")*(Transactions!$G$2:$G$86="DIESEL")*Transactions!$N$2:$N$86),2)</f>
        <v>109108.85</v>
      </c>
      <c r="D12" s="6" t="n">
        <f aca="false">C12-B12</f>
        <v>0</v>
      </c>
      <c r="E12" s="5" t="str">
        <f aca="false">IF(ABS(D12)&lt;=0.02,"OK","CHECK")</f>
        <v>OK</v>
      </c>
    </row>
    <row r="13" customFormat="false" ht="15" hidden="false" customHeight="true" outlineLevel="0" collapsed="false">
      <c r="A13" s="5" t="s">
        <v>223</v>
      </c>
      <c r="B13" s="6" t="n">
        <v>400.23</v>
      </c>
      <c r="C13" s="6" t="n">
        <f aca="false">ROUND(SUMPRODUCT((Transactions!$A$2:$A$86="26/652169828")*(Transactions!$G$2:$G$86="ADBLUE")*Transactions!$H$2:$H$86),2)</f>
        <v>400.23</v>
      </c>
      <c r="D13" s="6" t="n">
        <f aca="false">C13-B13</f>
        <v>0</v>
      </c>
      <c r="E13" s="5" t="str">
        <f aca="false">IF(ABS(D13)&lt;=0.02,"OK","CHECK")</f>
        <v>OK</v>
      </c>
    </row>
    <row r="14" customFormat="false" ht="15" hidden="false" customHeight="true" outlineLevel="0" collapsed="false">
      <c r="A14" s="5" t="s">
        <v>224</v>
      </c>
      <c r="B14" s="6" t="n">
        <v>2678.35</v>
      </c>
      <c r="C14" s="6" t="n">
        <f aca="false">ROUND(SUMPRODUCT((Transactions!$A$2:$A$86="26/652169828")*(Transactions!$G$2:$G$86="ADBLUE")*Transactions!$N$2:$N$86),2)</f>
        <v>2678.35</v>
      </c>
      <c r="D14" s="6" t="n">
        <f aca="false">C14-B14</f>
        <v>0</v>
      </c>
      <c r="E14" s="5" t="str">
        <f aca="false">IF(ABS(D14)&lt;=0.02,"OK","CHECK")</f>
        <v>OK</v>
      </c>
    </row>
    <row r="15" customFormat="false" ht="15" hidden="false" customHeight="true" outlineLevel="0" collapsed="false">
      <c r="A15" s="5" t="s">
        <v>225</v>
      </c>
      <c r="B15" s="6" t="n">
        <v>251</v>
      </c>
      <c r="C15" s="6" t="n">
        <f aca="false">ROUND(SUMPRODUCT((Transactions!$A$2:$A$86="26/652169828")*(Transactions!$G$2:$G$86="HVO 100")*Transactions!$H$2:$H$86),2)</f>
        <v>251</v>
      </c>
      <c r="D15" s="6" t="n">
        <f aca="false">C15-B15</f>
        <v>0</v>
      </c>
      <c r="E15" s="5" t="str">
        <f aca="false">IF(ABS(D15)&lt;=0.02,"OK","CHECK")</f>
        <v>OK</v>
      </c>
    </row>
    <row r="16" customFormat="false" ht="15" hidden="false" customHeight="true" outlineLevel="0" collapsed="false">
      <c r="A16" s="5" t="s">
        <v>226</v>
      </c>
      <c r="B16" s="6" t="n">
        <v>5732.34</v>
      </c>
      <c r="C16" s="6" t="n">
        <f aca="false">ROUND(SUMPRODUCT((Transactions!$A$2:$A$86="26/652169828")*(Transactions!$G$2:$G$86="HVO 100")*Transactions!$N$2:$N$86),2)</f>
        <v>5732.34</v>
      </c>
      <c r="D16" s="6" t="n">
        <f aca="false">C16-B16</f>
        <v>0</v>
      </c>
      <c r="E16" s="5" t="str">
        <f aca="false">IF(ABS(D16)&lt;=0.02,"OK","CHECK")</f>
        <v>OK</v>
      </c>
    </row>
    <row r="17" customFormat="false" ht="15" hidden="false" customHeight="true" outlineLevel="0" collapsed="false">
      <c r="A17" s="5" t="s">
        <v>227</v>
      </c>
      <c r="B17" s="6" t="n">
        <v>1144.99</v>
      </c>
      <c r="C17" s="6" t="n">
        <f aca="false">ROUND(SUMPRODUCT((Transactions!$A$2:$A$86="26/652169828")*(Transactions!$G$2:$G$86="parking")*Transactions!$N$2:$N$86),2)</f>
        <v>1144.99</v>
      </c>
      <c r="D17" s="6" t="n">
        <f aca="false">C17-B17</f>
        <v>0</v>
      </c>
      <c r="E17" s="5" t="str">
        <f aca="false">IF(ABS(D17)&lt;=0.02,"OK","CHECK")</f>
        <v>OK</v>
      </c>
    </row>
    <row r="18" customFormat="false" ht="15" hidden="false" customHeight="true" outlineLevel="0" collapsed="false">
      <c r="A18" s="5" t="s">
        <v>228</v>
      </c>
      <c r="B18" s="6" t="n">
        <v>118664.53</v>
      </c>
      <c r="C18" s="6" t="n">
        <f aca="false">ROUND(SUMIF(Transactions!$A$2:$A$86,"26/652169828",Transactions!$N$2:$N$86),2)</f>
        <v>118664.53</v>
      </c>
      <c r="D18" s="6" t="n">
        <f aca="false">C18-B18</f>
        <v>0</v>
      </c>
      <c r="E18" s="5" t="str">
        <f aca="false">IF(ABS(D18)&lt;=0.02,"OK","CHECK")</f>
        <v>OK</v>
      </c>
    </row>
    <row r="19" customFormat="false" ht="15" hidden="false" customHeight="true" outlineLevel="0" collapsed="false">
      <c r="A19" s="5" t="s">
        <v>229</v>
      </c>
      <c r="B19" s="6" t="n">
        <v>29666.13</v>
      </c>
      <c r="C19" s="6" t="n">
        <f aca="false">ROUND(SUMIF(Transactions!$A$2:$A$86,"26/652169828",Transactions!$O$2:$O$86),2)</f>
        <v>29666.13</v>
      </c>
      <c r="D19" s="6" t="n">
        <f aca="false">C19-B19</f>
        <v>0</v>
      </c>
      <c r="E19" s="5" t="str">
        <f aca="false">IF(ABS(D19)&lt;=0.02,"OK","CHECK")</f>
        <v>OK</v>
      </c>
    </row>
    <row r="20" customFormat="false" ht="15" hidden="false" customHeight="true" outlineLevel="0" collapsed="false">
      <c r="A20" s="5" t="s">
        <v>230</v>
      </c>
      <c r="B20" s="6" t="n">
        <v>148330.66</v>
      </c>
      <c r="C20" s="6" t="n">
        <f aca="false">ROUND(SUMIF(Transactions!$A$2:$A$86,"26/652169828",Transactions!$P$2:$P$86),2)</f>
        <v>148330.66</v>
      </c>
      <c r="D20" s="6" t="n">
        <f aca="false">C20-B20</f>
        <v>0</v>
      </c>
      <c r="E20" s="5" t="str">
        <f aca="false">IF(ABS(D20)&lt;=0.02,"OK","CHECK")</f>
        <v>OK</v>
      </c>
    </row>
    <row r="21" customFormat="false" ht="15" hidden="false" customHeight="true" outlineLevel="0" collapsed="false">
      <c r="A21" s="5" t="s">
        <v>231</v>
      </c>
      <c r="B21" s="6" t="n">
        <v>13757.93</v>
      </c>
      <c r="C21" s="6" t="n">
        <f aca="false">ROUND(SUMIF(Transactions!$A$2:$A$86,"26/652169828",Transactions!$Q$2:$Q$86),2)</f>
        <v>13757.93</v>
      </c>
      <c r="D21" s="6" t="n">
        <f aca="false">C21-B21</f>
        <v>0</v>
      </c>
      <c r="E21" s="5" t="str">
        <f aca="false">IF(ABS(D21)&lt;=0.02,"OK","CHECK")</f>
        <v>OK</v>
      </c>
    </row>
    <row r="22" customFormat="false" ht="15" hidden="false" customHeight="true" outlineLevel="0" collapsed="false">
      <c r="A22" s="5" t="s">
        <v>232</v>
      </c>
      <c r="B22" s="6" t="n">
        <v>362420.17</v>
      </c>
      <c r="C22" s="6" t="n">
        <f aca="false">ROUND(SUM(Transactions!$P$2:$P$86),2)</f>
        <v>362420.17</v>
      </c>
      <c r="D22" s="6" t="n">
        <f aca="false">C22-B22</f>
        <v>0</v>
      </c>
      <c r="E22" s="5" t="str">
        <f aca="false">IF(ABS(D22)&lt;=0.02,"OK","CHECK")</f>
        <v>OK</v>
      </c>
    </row>
    <row r="23" customFormat="false" ht="15" hidden="false" customHeight="true" outlineLevel="0" collapsed="false">
      <c r="A23" s="5" t="s">
        <v>233</v>
      </c>
      <c r="B23" s="6" t="n">
        <v>33537.19</v>
      </c>
      <c r="C23" s="6" t="n">
        <f aca="false">ROUND(SUM(Transactions!$Q$2:$Q$86),2)</f>
        <v>33537.19</v>
      </c>
      <c r="D23" s="6" t="n">
        <f aca="false">C23-B23</f>
        <v>0</v>
      </c>
      <c r="E23" s="5" t="str">
        <f aca="false">IF(ABS(D23)&lt;=0.02,"OK","CHECK")</f>
        <v>OK</v>
      </c>
    </row>
    <row r="24" customFormat="false" ht="15" hidden="false" customHeight="true" outlineLevel="0" collapsed="false">
      <c r="A24" s="5" t="s">
        <v>234</v>
      </c>
      <c r="B24" s="6" t="n">
        <v>72484.03</v>
      </c>
      <c r="C24" s="6" t="n">
        <f aca="false">ROUND(SUM(Transactions!$O$2:$O$86),2)</f>
        <v>72484.03</v>
      </c>
      <c r="D24" s="6" t="n">
        <f aca="false">C24-B24</f>
        <v>0</v>
      </c>
      <c r="E24" s="5" t="str">
        <f aca="false">IF(ABS(D24)&lt;=0.02,"OK","CHECK")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2026-06-11T05:57:20Z</dcterms:created>
  <dc:creator>openpyxl</dc:creator>
  <dc:description/>
  <dc:language>en-US</dc:language>
  <cp:lastModifiedBy/>
  <dcterms:modified xsi:type="dcterms:W3CDTF">2026-06-11T05:57:57Z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