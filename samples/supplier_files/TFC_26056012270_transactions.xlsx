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Card totals check" sheetId="2" state="visible" r:id="rId4"/>
    <sheet name="Invoice totals check" sheetId="3" state="visible" r:id="rId5"/>
    <sheet name="Station price analysis" sheetId="4" state="visible" r:id="rId6"/>
  </sheets>
  <definedNames>
    <definedName function="false" hidden="true" localSheetId="0" name="_xlnm._FilterDatabase" vbProcedure="false">Transactions!$A$1:$Q$121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<sst xmlns="http://schemas.openxmlformats.org/spreadsheetml/2006/main" count="803" uniqueCount="224">
  <si>
    <t xml:space="preserve">Card</t>
  </si>
  <si>
    <t xml:space="preserve">Date</t>
  </si>
  <si>
    <t xml:space="preserve">Time</t>
  </si>
  <si>
    <t xml:space="preserve">Receipt</t>
  </si>
  <si>
    <t xml:space="preserve">Plate</t>
  </si>
  <si>
    <t xml:space="preserve">Product</t>
  </si>
  <si>
    <t xml:space="preserve">Location</t>
  </si>
  <si>
    <t xml:space="preserve">Volume L</t>
  </si>
  <si>
    <t xml:space="preserve">Location price EUR/L</t>
  </si>
  <si>
    <t xml:space="preserve">Discount EUR/L</t>
  </si>
  <si>
    <t xml:space="preserve">Net price EUR/L (doc)</t>
  </si>
  <si>
    <t xml:space="preserve">Net amount EUR (doc)</t>
  </si>
  <si>
    <t xml:space="preserve">Eff. price used</t>
  </si>
  <si>
    <t xml:space="preserve">Check1: price math</t>
  </si>
  <si>
    <t xml:space="preserve">Calc amount</t>
  </si>
  <si>
    <t xml:space="preserve">Diff</t>
  </si>
  <si>
    <t xml:space="preserve">Check2: amount</t>
  </si>
  <si>
    <t xml:space="preserve">108019237</t>
  </si>
  <si>
    <t xml:space="preserve">27-05-26</t>
  </si>
  <si>
    <t xml:space="preserve">11:42</t>
  </si>
  <si>
    <t xml:space="preserve">NCK 218</t>
  </si>
  <si>
    <t xml:space="preserve">Diesel</t>
  </si>
  <si>
    <t xml:space="preserve">Romac Houdeng</t>
  </si>
  <si>
    <t xml:space="preserve">11:50</t>
  </si>
  <si>
    <t xml:space="preserve">11:54</t>
  </si>
  <si>
    <t xml:space="preserve">29-05-26</t>
  </si>
  <si>
    <t xml:space="preserve">15:10</t>
  </si>
  <si>
    <t xml:space="preserve">Tfc Dcb Energy Hub Meer</t>
  </si>
  <si>
    <t xml:space="preserve">15:19</t>
  </si>
  <si>
    <t xml:space="preserve">15:21</t>
  </si>
  <si>
    <t xml:space="preserve">11:47</t>
  </si>
  <si>
    <t xml:space="preserve">AdBlue</t>
  </si>
  <si>
    <t xml:space="preserve">15:15</t>
  </si>
  <si>
    <t xml:space="preserve">145993502</t>
  </si>
  <si>
    <t xml:space="preserve">18-05-26</t>
  </si>
  <si>
    <t xml:space="preserve">13:38</t>
  </si>
  <si>
    <t xml:space="preserve">MSZ552</t>
  </si>
  <si>
    <t xml:space="preserve">13:51</t>
  </si>
  <si>
    <t xml:space="preserve">13:46</t>
  </si>
  <si>
    <t xml:space="preserve">168404872</t>
  </si>
  <si>
    <t xml:space="preserve">21-05-26</t>
  </si>
  <si>
    <t xml:space="preserve">13:25</t>
  </si>
  <si>
    <t xml:space="preserve">AII 954</t>
  </si>
  <si>
    <t xml:space="preserve">Tfc Dcb Energy Hub Meer 2</t>
  </si>
  <si>
    <t xml:space="preserve">13:32</t>
  </si>
  <si>
    <t xml:space="preserve">13:39</t>
  </si>
  <si>
    <t xml:space="preserve">13:42</t>
  </si>
  <si>
    <t xml:space="preserve">280623763</t>
  </si>
  <si>
    <t xml:space="preserve">08:25</t>
  </si>
  <si>
    <t xml:space="preserve">NCK 230</t>
  </si>
  <si>
    <t xml:space="preserve">08:41</t>
  </si>
  <si>
    <t xml:space="preserve">08:45</t>
  </si>
  <si>
    <t xml:space="preserve">22-05-26</t>
  </si>
  <si>
    <t xml:space="preserve">14:19</t>
  </si>
  <si>
    <t xml:space="preserve">14:24</t>
  </si>
  <si>
    <t xml:space="preserve">14:29</t>
  </si>
  <si>
    <t xml:space="preserve">08:33</t>
  </si>
  <si>
    <t xml:space="preserve">14:32</t>
  </si>
  <si>
    <t xml:space="preserve">332206574</t>
  </si>
  <si>
    <t xml:space="preserve">14:00</t>
  </si>
  <si>
    <t xml:space="preserve">MTZ159</t>
  </si>
  <si>
    <t xml:space="preserve">Dcb Energy Hub Maasmechelen</t>
  </si>
  <si>
    <t xml:space="preserve">14:28</t>
  </si>
  <si>
    <t xml:space="preserve">14:12</t>
  </si>
  <si>
    <t xml:space="preserve">368425169</t>
  </si>
  <si>
    <t xml:space="preserve">23-05-26</t>
  </si>
  <si>
    <t xml:space="preserve">03:55</t>
  </si>
  <si>
    <t xml:space="preserve">MSZ543</t>
  </si>
  <si>
    <t xml:space="preserve">04:03</t>
  </si>
  <si>
    <t xml:space="preserve">04:13</t>
  </si>
  <si>
    <t xml:space="preserve">04:08</t>
  </si>
  <si>
    <t xml:space="preserve">390924019</t>
  </si>
  <si>
    <t xml:space="preserve">26-05-26</t>
  </si>
  <si>
    <t xml:space="preserve">12:50</t>
  </si>
  <si>
    <t xml:space="preserve">NNJ 874</t>
  </si>
  <si>
    <t xml:space="preserve">12:58</t>
  </si>
  <si>
    <t xml:space="preserve">13:03</t>
  </si>
  <si>
    <t xml:space="preserve">13:07</t>
  </si>
  <si>
    <t xml:space="preserve">420982795</t>
  </si>
  <si>
    <t xml:space="preserve">12:39</t>
  </si>
  <si>
    <t xml:space="preserve">MND 992</t>
  </si>
  <si>
    <t xml:space="preserve">12:45</t>
  </si>
  <si>
    <t xml:space="preserve">28-05-26</t>
  </si>
  <si>
    <t xml:space="preserve">01:03</t>
  </si>
  <si>
    <t xml:space="preserve">01:08</t>
  </si>
  <si>
    <t xml:space="preserve">01:14</t>
  </si>
  <si>
    <t xml:space="preserve">01:21</t>
  </si>
  <si>
    <t xml:space="preserve">431120840</t>
  </si>
  <si>
    <t xml:space="preserve">13:14</t>
  </si>
  <si>
    <t xml:space="preserve">MFF 264</t>
  </si>
  <si>
    <t xml:space="preserve">13:20</t>
  </si>
  <si>
    <t xml:space="preserve">13:28</t>
  </si>
  <si>
    <t xml:space="preserve">492309405</t>
  </si>
  <si>
    <t xml:space="preserve">15:46</t>
  </si>
  <si>
    <t xml:space="preserve">NCK 206</t>
  </si>
  <si>
    <t xml:space="preserve">15:51</t>
  </si>
  <si>
    <t xml:space="preserve">15:55</t>
  </si>
  <si>
    <t xml:space="preserve">16:02</t>
  </si>
  <si>
    <t xml:space="preserve">496838029</t>
  </si>
  <si>
    <t xml:space="preserve">20-05-26</t>
  </si>
  <si>
    <t xml:space="preserve">15:30</t>
  </si>
  <si>
    <t xml:space="preserve">MTG172</t>
  </si>
  <si>
    <t xml:space="preserve">15:42</t>
  </si>
  <si>
    <t xml:space="preserve">30-05-26</t>
  </si>
  <si>
    <t xml:space="preserve">09:35</t>
  </si>
  <si>
    <t xml:space="preserve">09:47</t>
  </si>
  <si>
    <t xml:space="preserve">09:52</t>
  </si>
  <si>
    <t xml:space="preserve">15:37</t>
  </si>
  <si>
    <t xml:space="preserve">09:42</t>
  </si>
  <si>
    <t xml:space="preserve">575148137</t>
  </si>
  <si>
    <t xml:space="preserve">12:28</t>
  </si>
  <si>
    <t xml:space="preserve">MTG196</t>
  </si>
  <si>
    <t xml:space="preserve">12:35</t>
  </si>
  <si>
    <t xml:space="preserve">12:40</t>
  </si>
  <si>
    <t xml:space="preserve">647718447</t>
  </si>
  <si>
    <t xml:space="preserve">15:35</t>
  </si>
  <si>
    <t xml:space="preserve">NRH 225</t>
  </si>
  <si>
    <t xml:space="preserve">649128539</t>
  </si>
  <si>
    <t xml:space="preserve">06:01</t>
  </si>
  <si>
    <t xml:space="preserve">MSZ557</t>
  </si>
  <si>
    <t xml:space="preserve">De Warande Oostkamp</t>
  </si>
  <si>
    <t xml:space="preserve">06:09</t>
  </si>
  <si>
    <t xml:space="preserve">06:16</t>
  </si>
  <si>
    <t xml:space="preserve">707758061</t>
  </si>
  <si>
    <t xml:space="preserve">07:20</t>
  </si>
  <si>
    <t xml:space="preserve">MOS360</t>
  </si>
  <si>
    <t xml:space="preserve">07:29</t>
  </si>
  <si>
    <t xml:space="preserve">07:37</t>
  </si>
  <si>
    <t xml:space="preserve">07:41</t>
  </si>
  <si>
    <t xml:space="preserve">771666683</t>
  </si>
  <si>
    <t xml:space="preserve">16:50</t>
  </si>
  <si>
    <t xml:space="preserve">AIE 819</t>
  </si>
  <si>
    <t xml:space="preserve">17:04</t>
  </si>
  <si>
    <t xml:space="preserve">17:09</t>
  </si>
  <si>
    <t xml:space="preserve">17:12</t>
  </si>
  <si>
    <t xml:space="preserve">16:59</t>
  </si>
  <si>
    <t xml:space="preserve">775094081</t>
  </si>
  <si>
    <t xml:space="preserve">10:15</t>
  </si>
  <si>
    <t xml:space="preserve">MSB265</t>
  </si>
  <si>
    <t xml:space="preserve">10:29</t>
  </si>
  <si>
    <t xml:space="preserve">10:35</t>
  </si>
  <si>
    <t xml:space="preserve">10:25</t>
  </si>
  <si>
    <t xml:space="preserve">10:32</t>
  </si>
  <si>
    <t xml:space="preserve">10:36</t>
  </si>
  <si>
    <t xml:space="preserve">10:24</t>
  </si>
  <si>
    <t xml:space="preserve">10:40</t>
  </si>
  <si>
    <t xml:space="preserve">823016623</t>
  </si>
  <si>
    <t xml:space="preserve">14:57</t>
  </si>
  <si>
    <t xml:space="preserve">LRN 472</t>
  </si>
  <si>
    <t xml:space="preserve">15:07</t>
  </si>
  <si>
    <t xml:space="preserve">15:12</t>
  </si>
  <si>
    <t xml:space="preserve">15:28</t>
  </si>
  <si>
    <t xml:space="preserve">15:36</t>
  </si>
  <si>
    <t xml:space="preserve">15:17</t>
  </si>
  <si>
    <t xml:space="preserve">15:22</t>
  </si>
  <si>
    <t xml:space="preserve">14:50</t>
  </si>
  <si>
    <t xml:space="preserve">15:23</t>
  </si>
  <si>
    <t xml:space="preserve">15:14</t>
  </si>
  <si>
    <t xml:space="preserve">856166744</t>
  </si>
  <si>
    <t xml:space="preserve">13:31</t>
  </si>
  <si>
    <t xml:space="preserve">MFF 265</t>
  </si>
  <si>
    <t xml:space="preserve">13:48</t>
  </si>
  <si>
    <t xml:space="preserve">13:44</t>
  </si>
  <si>
    <t xml:space="preserve">889167685</t>
  </si>
  <si>
    <t xml:space="preserve">16-05-26</t>
  </si>
  <si>
    <t xml:space="preserve">07:11</t>
  </si>
  <si>
    <t xml:space="preserve">MDU 054</t>
  </si>
  <si>
    <t xml:space="preserve">15:29</t>
  </si>
  <si>
    <t xml:space="preserve">15:57</t>
  </si>
  <si>
    <t xml:space="preserve">898603163</t>
  </si>
  <si>
    <t xml:space="preserve">19:49</t>
  </si>
  <si>
    <t xml:space="preserve">NCK 186</t>
  </si>
  <si>
    <t xml:space="preserve">Texaco Kruishoutem</t>
  </si>
  <si>
    <t xml:space="preserve">20:05</t>
  </si>
  <si>
    <t xml:space="preserve">20:01</t>
  </si>
  <si>
    <t xml:space="preserve">924148677</t>
  </si>
  <si>
    <t xml:space="preserve">18:12</t>
  </si>
  <si>
    <t xml:space="preserve">LPV 991</t>
  </si>
  <si>
    <t xml:space="preserve">06:12</t>
  </si>
  <si>
    <t xml:space="preserve">06:21</t>
  </si>
  <si>
    <t xml:space="preserve">06:25</t>
  </si>
  <si>
    <t xml:space="preserve">936582681</t>
  </si>
  <si>
    <t xml:space="preserve">07:54</t>
  </si>
  <si>
    <t xml:space="preserve">LDI 991</t>
  </si>
  <si>
    <t xml:space="preserve">08:01</t>
  </si>
  <si>
    <t xml:space="preserve">08:07</t>
  </si>
  <si>
    <t xml:space="preserve">952457222</t>
  </si>
  <si>
    <t xml:space="preserve">13:15</t>
  </si>
  <si>
    <t xml:space="preserve">NCS 504</t>
  </si>
  <si>
    <t xml:space="preserve">13:26</t>
  </si>
  <si>
    <t xml:space="preserve">959770118</t>
  </si>
  <si>
    <t xml:space="preserve">15:11</t>
  </si>
  <si>
    <t xml:space="preserve">MFI170</t>
  </si>
  <si>
    <t xml:space="preserve">15:20</t>
  </si>
  <si>
    <t xml:space="preserve">15:26</t>
  </si>
  <si>
    <t xml:space="preserve">15:31</t>
  </si>
  <si>
    <t xml:space="preserve">991011529</t>
  </si>
  <si>
    <t xml:space="preserve">23:10</t>
  </si>
  <si>
    <t xml:space="preserve">MSZ547</t>
  </si>
  <si>
    <t xml:space="preserve">23:17</t>
  </si>
  <si>
    <t xml:space="preserve">23:19</t>
  </si>
  <si>
    <t xml:space="preserve">23:33</t>
  </si>
  <si>
    <t xml:space="preserve">23:25</t>
  </si>
  <si>
    <t xml:space="preserve">Stated total EUR (net)</t>
  </si>
  <si>
    <t xml:space="preserve">Calc sum of lines</t>
  </si>
  <si>
    <t xml:space="preserve">Check</t>
  </si>
  <si>
    <t xml:space="preserve">TOTAL</t>
  </si>
  <si>
    <t xml:space="preserve">Check item</t>
  </si>
  <si>
    <t xml:space="preserve">Invoice states</t>
  </si>
  <si>
    <t xml:space="preserve">Calculated</t>
  </si>
  <si>
    <t xml:space="preserve">Total excl. VAT EUR</t>
  </si>
  <si>
    <t xml:space="preserve">VAT 21% EUR</t>
  </si>
  <si>
    <t xml:space="preserve">Invoice total EUR</t>
  </si>
  <si>
    <t xml:space="preserve">Diesel litres</t>
  </si>
  <si>
    <t xml:space="preserve">(not stated)</t>
  </si>
  <si>
    <t xml:space="preserve">Diesel net EUR</t>
  </si>
  <si>
    <t xml:space="preserve">AdBlue litres</t>
  </si>
  <si>
    <t xml:space="preserve">AdBlue net EUR</t>
  </si>
  <si>
    <t xml:space="preserve">Station</t>
  </si>
  <si>
    <t xml:space="preserve">Avg eff. net EUR/L</t>
  </si>
  <si>
    <t xml:space="preserve">Discount shown?</t>
  </si>
  <si>
    <t xml:space="preserve">yes (-0.2050)</t>
  </si>
  <si>
    <t xml:space="preserve">yes (-0.1900)</t>
  </si>
  <si>
    <t xml:space="preserve">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</si>
</sst>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"/>
    <numFmt numFmtId="167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2410C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2410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9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n">
        <v>110795</v>
      </c>
      <c r="E2" s="2" t="s">
        <v>20</v>
      </c>
      <c r="F2" s="2" t="s">
        <v>21</v>
      </c>
      <c r="G2" s="2" t="s">
        <v>22</v>
      </c>
      <c r="H2" s="3" t="n">
        <v>456</v>
      </c>
      <c r="I2" s="4" t="n">
        <v>1.5944</v>
      </c>
      <c r="J2" s="4"/>
      <c r="K2" s="4"/>
      <c r="L2" s="3" t="n">
        <v>727.05</v>
      </c>
      <c r="M2" s="4" t="n">
        <f aca="false">IF(K2&lt;&gt;"",K2,I2)</f>
        <v>1.5944</v>
      </c>
      <c r="N2" s="2" t="str">
        <f aca="false">IF(K2="","n/a (no discount)",IF(ABS(I2-J2-K2)&lt;=0.0001,"OK","CHECK"))</f>
        <v>n/a (no discount)</v>
      </c>
      <c r="O2" s="3" t="n">
        <f aca="false">ROUND(M2*H2,2)</f>
        <v>727.05</v>
      </c>
      <c r="P2" s="5" t="n">
        <f aca="false">O2-L2</f>
        <v>0</v>
      </c>
      <c r="Q2" s="2" t="str">
        <f aca="false">IF(ABS(P2)&lt;=0.011,"OK","CHECK")</f>
        <v>OK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23</v>
      </c>
      <c r="D3" s="2" t="n">
        <v>110817</v>
      </c>
      <c r="E3" s="2" t="s">
        <v>20</v>
      </c>
      <c r="F3" s="2" t="s">
        <v>21</v>
      </c>
      <c r="G3" s="2" t="s">
        <v>22</v>
      </c>
      <c r="H3" s="3" t="n">
        <v>51</v>
      </c>
      <c r="I3" s="4" t="n">
        <v>1.5944</v>
      </c>
      <c r="J3" s="4"/>
      <c r="K3" s="4"/>
      <c r="L3" s="3" t="n">
        <v>81.32</v>
      </c>
      <c r="M3" s="4" t="n">
        <f aca="false">IF(K3&lt;&gt;"",K3,I3)</f>
        <v>1.5944</v>
      </c>
      <c r="N3" s="2" t="str">
        <f aca="false">IF(K3="","n/a (no discount)",IF(ABS(I3-J3-K3)&lt;=0.0001,"OK","CHECK"))</f>
        <v>n/a (no discount)</v>
      </c>
      <c r="O3" s="3" t="n">
        <f aca="false">ROUND(M3*H3,2)</f>
        <v>81.31</v>
      </c>
      <c r="P3" s="5" t="n">
        <f aca="false">O3-L3</f>
        <v>-0.00999999999999091</v>
      </c>
      <c r="Q3" s="2" t="str">
        <f aca="false">IF(ABS(P3)&lt;=0.011,"OK","CHECK")</f>
        <v>OK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24</v>
      </c>
      <c r="D4" s="2" t="n">
        <v>110829</v>
      </c>
      <c r="E4" s="2" t="s">
        <v>20</v>
      </c>
      <c r="F4" s="2" t="s">
        <v>21</v>
      </c>
      <c r="G4" s="2" t="s">
        <v>22</v>
      </c>
      <c r="H4" s="3" t="n">
        <v>24</v>
      </c>
      <c r="I4" s="4" t="n">
        <v>1.5944</v>
      </c>
      <c r="J4" s="4"/>
      <c r="K4" s="4"/>
      <c r="L4" s="3" t="n">
        <v>38.27</v>
      </c>
      <c r="M4" s="4" t="n">
        <f aca="false">IF(K4&lt;&gt;"",K4,I4)</f>
        <v>1.5944</v>
      </c>
      <c r="N4" s="2" t="str">
        <f aca="false">IF(K4="","n/a (no discount)",IF(ABS(I4-J4-K4)&lt;=0.0001,"OK","CHECK"))</f>
        <v>n/a (no discount)</v>
      </c>
      <c r="O4" s="3" t="n">
        <f aca="false">ROUND(M4*H4,2)</f>
        <v>38.27</v>
      </c>
      <c r="P4" s="5" t="n">
        <f aca="false">O4-L4</f>
        <v>0</v>
      </c>
      <c r="Q4" s="2" t="str">
        <f aca="false">IF(ABS(P4)&lt;=0.011,"OK","CHECK")</f>
        <v>OK</v>
      </c>
    </row>
    <row r="5" customFormat="false" ht="15" hidden="false" customHeight="false" outlineLevel="0" collapsed="false">
      <c r="A5" s="2" t="s">
        <v>17</v>
      </c>
      <c r="B5" s="2" t="s">
        <v>25</v>
      </c>
      <c r="C5" s="2" t="s">
        <v>26</v>
      </c>
      <c r="D5" s="2" t="n">
        <v>117360</v>
      </c>
      <c r="E5" s="2" t="s">
        <v>20</v>
      </c>
      <c r="F5" s="2" t="s">
        <v>21</v>
      </c>
      <c r="G5" s="2" t="s">
        <v>27</v>
      </c>
      <c r="H5" s="3" t="n">
        <v>271</v>
      </c>
      <c r="I5" s="4" t="n">
        <v>1.6843</v>
      </c>
      <c r="J5" s="4" t="n">
        <v>0.205</v>
      </c>
      <c r="K5" s="4" t="n">
        <v>1.4793</v>
      </c>
      <c r="L5" s="3" t="n">
        <v>400.9</v>
      </c>
      <c r="M5" s="4" t="n">
        <f aca="false">IF(K5&lt;&gt;"",K5,I5)</f>
        <v>1.4793</v>
      </c>
      <c r="N5" s="2" t="str">
        <f aca="false">IF(K5="","n/a (no discount)",IF(ABS(I5-J5-K5)&lt;=0.0001,"OK","CHECK"))</f>
        <v>OK</v>
      </c>
      <c r="O5" s="3" t="n">
        <f aca="false">ROUND(M5*H5,2)</f>
        <v>400.89</v>
      </c>
      <c r="P5" s="5" t="n">
        <f aca="false">O5-L5</f>
        <v>-0.00999999999999091</v>
      </c>
      <c r="Q5" s="2" t="str">
        <f aca="false">IF(ABS(P5)&lt;=0.011,"OK","CHECK")</f>
        <v>OK</v>
      </c>
    </row>
    <row r="6" customFormat="false" ht="15" hidden="false" customHeight="false" outlineLevel="0" collapsed="false">
      <c r="A6" s="2" t="s">
        <v>17</v>
      </c>
      <c r="B6" s="2" t="s">
        <v>25</v>
      </c>
      <c r="C6" s="2" t="s">
        <v>28</v>
      </c>
      <c r="D6" s="2" t="n">
        <v>117410</v>
      </c>
      <c r="E6" s="2" t="s">
        <v>20</v>
      </c>
      <c r="F6" s="2" t="s">
        <v>21</v>
      </c>
      <c r="G6" s="2" t="s">
        <v>27</v>
      </c>
      <c r="H6" s="3" t="n">
        <v>26</v>
      </c>
      <c r="I6" s="4" t="n">
        <v>1.6843</v>
      </c>
      <c r="J6" s="4" t="n">
        <v>0.205</v>
      </c>
      <c r="K6" s="4" t="n">
        <v>1.4793</v>
      </c>
      <c r="L6" s="3" t="n">
        <v>38.47</v>
      </c>
      <c r="M6" s="4" t="n">
        <f aca="false">IF(K6&lt;&gt;"",K6,I6)</f>
        <v>1.4793</v>
      </c>
      <c r="N6" s="2" t="str">
        <f aca="false">IF(K6="","n/a (no discount)",IF(ABS(I6-J6-K6)&lt;=0.0001,"OK","CHECK"))</f>
        <v>OK</v>
      </c>
      <c r="O6" s="3" t="n">
        <f aca="false">ROUND(M6*H6,2)</f>
        <v>38.46</v>
      </c>
      <c r="P6" s="5" t="n">
        <f aca="false">O6-L6</f>
        <v>-0.00999999999999801</v>
      </c>
      <c r="Q6" s="2" t="str">
        <f aca="false">IF(ABS(P6)&lt;=0.011,"OK","CHECK")</f>
        <v>OK</v>
      </c>
    </row>
    <row r="7" customFormat="false" ht="15" hidden="false" customHeight="false" outlineLevel="0" collapsed="false">
      <c r="A7" s="2" t="s">
        <v>17</v>
      </c>
      <c r="B7" s="2" t="s">
        <v>25</v>
      </c>
      <c r="C7" s="2" t="s">
        <v>29</v>
      </c>
      <c r="D7" s="2" t="n">
        <v>117425</v>
      </c>
      <c r="E7" s="2" t="s">
        <v>20</v>
      </c>
      <c r="F7" s="2" t="s">
        <v>21</v>
      </c>
      <c r="G7" s="2" t="s">
        <v>27</v>
      </c>
      <c r="H7" s="3" t="n">
        <v>137.01</v>
      </c>
      <c r="I7" s="4" t="n">
        <v>1.6843</v>
      </c>
      <c r="J7" s="4" t="n">
        <v>0.205</v>
      </c>
      <c r="K7" s="4" t="n">
        <v>1.4793</v>
      </c>
      <c r="L7" s="3" t="n">
        <v>202.68</v>
      </c>
      <c r="M7" s="4" t="n">
        <f aca="false">IF(K7&lt;&gt;"",K7,I7)</f>
        <v>1.4793</v>
      </c>
      <c r="N7" s="2" t="str">
        <f aca="false">IF(K7="","n/a (no discount)",IF(ABS(I7-J7-K7)&lt;=0.0001,"OK","CHECK"))</f>
        <v>OK</v>
      </c>
      <c r="O7" s="3" t="n">
        <f aca="false">ROUND(M7*H7,2)</f>
        <v>202.68</v>
      </c>
      <c r="P7" s="5" t="n">
        <f aca="false">O7-L7</f>
        <v>0</v>
      </c>
      <c r="Q7" s="2" t="str">
        <f aca="false">IF(ABS(P7)&lt;=0.011,"OK","CHECK")</f>
        <v>OK</v>
      </c>
    </row>
    <row r="8" customFormat="false" ht="15" hidden="false" customHeight="false" outlineLevel="0" collapsed="false">
      <c r="A8" s="2" t="s">
        <v>17</v>
      </c>
      <c r="B8" s="2" t="s">
        <v>18</v>
      </c>
      <c r="C8" s="2" t="s">
        <v>30</v>
      </c>
      <c r="D8" s="2" t="n">
        <v>110809</v>
      </c>
      <c r="E8" s="2" t="s">
        <v>20</v>
      </c>
      <c r="F8" s="2" t="s">
        <v>31</v>
      </c>
      <c r="G8" s="2" t="s">
        <v>22</v>
      </c>
      <c r="H8" s="3" t="n">
        <v>30</v>
      </c>
      <c r="I8" s="4" t="n">
        <v>0.675</v>
      </c>
      <c r="J8" s="4"/>
      <c r="K8" s="4"/>
      <c r="L8" s="3" t="n">
        <v>20.25</v>
      </c>
      <c r="M8" s="4" t="n">
        <f aca="false">IF(K8&lt;&gt;"",K8,I8)</f>
        <v>0.675</v>
      </c>
      <c r="N8" s="2" t="str">
        <f aca="false">IF(K8="","n/a (no discount)",IF(ABS(I8-J8-K8)&lt;=0.0001,"OK","CHECK"))</f>
        <v>n/a (no discount)</v>
      </c>
      <c r="O8" s="3" t="n">
        <f aca="false">ROUND(M8*H8,2)</f>
        <v>20.25</v>
      </c>
      <c r="P8" s="5" t="n">
        <f aca="false">O8-L8</f>
        <v>0</v>
      </c>
      <c r="Q8" s="2" t="str">
        <f aca="false">IF(ABS(P8)&lt;=0.011,"OK","CHECK")</f>
        <v>OK</v>
      </c>
    </row>
    <row r="9" customFormat="false" ht="15" hidden="false" customHeight="false" outlineLevel="0" collapsed="false">
      <c r="A9" s="2" t="s">
        <v>17</v>
      </c>
      <c r="B9" s="2" t="s">
        <v>25</v>
      </c>
      <c r="C9" s="2" t="s">
        <v>32</v>
      </c>
      <c r="D9" s="2" t="n">
        <v>117389</v>
      </c>
      <c r="E9" s="2" t="s">
        <v>20</v>
      </c>
      <c r="F9" s="2" t="s">
        <v>31</v>
      </c>
      <c r="G9" s="2" t="s">
        <v>27</v>
      </c>
      <c r="H9" s="3" t="n">
        <v>48.11</v>
      </c>
      <c r="I9" s="4" t="n">
        <v>0.6</v>
      </c>
      <c r="J9" s="4" t="n">
        <v>0</v>
      </c>
      <c r="K9" s="4" t="n">
        <v>0.6</v>
      </c>
      <c r="L9" s="3" t="n">
        <v>28.87</v>
      </c>
      <c r="M9" s="4" t="n">
        <f aca="false">IF(K9&lt;&gt;"",K9,I9)</f>
        <v>0.6</v>
      </c>
      <c r="N9" s="2" t="str">
        <f aca="false">IF(K9="","n/a (no discount)",IF(ABS(I9-J9-K9)&lt;=0.0001,"OK","CHECK"))</f>
        <v>OK</v>
      </c>
      <c r="O9" s="3" t="n">
        <f aca="false">ROUND(M9*H9,2)</f>
        <v>28.87</v>
      </c>
      <c r="P9" s="5" t="n">
        <f aca="false">O9-L9</f>
        <v>0</v>
      </c>
      <c r="Q9" s="2" t="str">
        <f aca="false">IF(ABS(P9)&lt;=0.011,"OK","CHECK")</f>
        <v>OK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2" t="s">
        <v>35</v>
      </c>
      <c r="D10" s="2" t="n">
        <v>84860</v>
      </c>
      <c r="E10" s="2" t="s">
        <v>36</v>
      </c>
      <c r="F10" s="2" t="s">
        <v>21</v>
      </c>
      <c r="G10" s="2" t="s">
        <v>27</v>
      </c>
      <c r="H10" s="3" t="n">
        <v>445</v>
      </c>
      <c r="I10" s="4" t="n">
        <v>1.7488</v>
      </c>
      <c r="J10" s="4" t="n">
        <v>0.205</v>
      </c>
      <c r="K10" s="4" t="n">
        <v>1.5438</v>
      </c>
      <c r="L10" s="3" t="n">
        <v>687</v>
      </c>
      <c r="M10" s="4" t="n">
        <f aca="false">IF(K10&lt;&gt;"",K10,I10)</f>
        <v>1.5438</v>
      </c>
      <c r="N10" s="2" t="str">
        <f aca="false">IF(K10="","n/a (no discount)",IF(ABS(I10-J10-K10)&lt;=0.0001,"OK","CHECK"))</f>
        <v>OK</v>
      </c>
      <c r="O10" s="3" t="n">
        <f aca="false">ROUND(M10*H10,2)</f>
        <v>686.99</v>
      </c>
      <c r="P10" s="5" t="n">
        <f aca="false">O10-L10</f>
        <v>-0.00999999999999091</v>
      </c>
      <c r="Q10" s="2" t="str">
        <f aca="false">IF(ABS(P10)&lt;=0.011,"OK","CHECK")</f>
        <v>OK</v>
      </c>
    </row>
    <row r="11" customFormat="false" ht="15" hidden="false" customHeight="false" outlineLevel="0" collapsed="false">
      <c r="A11" s="2" t="s">
        <v>33</v>
      </c>
      <c r="B11" s="2" t="s">
        <v>34</v>
      </c>
      <c r="C11" s="2" t="s">
        <v>37</v>
      </c>
      <c r="D11" s="2" t="n">
        <v>84902</v>
      </c>
      <c r="E11" s="2" t="s">
        <v>36</v>
      </c>
      <c r="F11" s="2" t="s">
        <v>21</v>
      </c>
      <c r="G11" s="2" t="s">
        <v>27</v>
      </c>
      <c r="H11" s="3" t="n">
        <v>55</v>
      </c>
      <c r="I11" s="4" t="n">
        <v>1.7488</v>
      </c>
      <c r="J11" s="4" t="n">
        <v>0.205</v>
      </c>
      <c r="K11" s="4" t="n">
        <v>1.5438</v>
      </c>
      <c r="L11" s="3" t="n">
        <v>84.91</v>
      </c>
      <c r="M11" s="4" t="n">
        <f aca="false">IF(K11&lt;&gt;"",K11,I11)</f>
        <v>1.5438</v>
      </c>
      <c r="N11" s="2" t="str">
        <f aca="false">IF(K11="","n/a (no discount)",IF(ABS(I11-J11-K11)&lt;=0.0001,"OK","CHECK"))</f>
        <v>OK</v>
      </c>
      <c r="O11" s="3" t="n">
        <f aca="false">ROUND(M11*H11,2)</f>
        <v>84.91</v>
      </c>
      <c r="P11" s="5" t="n">
        <f aca="false">O11-L11</f>
        <v>0</v>
      </c>
      <c r="Q11" s="2" t="str">
        <f aca="false">IF(ABS(P11)&lt;=0.011,"OK","CHECK")</f>
        <v>OK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38</v>
      </c>
      <c r="D12" s="2" t="n">
        <v>84891</v>
      </c>
      <c r="E12" s="2" t="s">
        <v>36</v>
      </c>
      <c r="F12" s="2" t="s">
        <v>31</v>
      </c>
      <c r="G12" s="2" t="s">
        <v>27</v>
      </c>
      <c r="H12" s="3" t="n">
        <v>44</v>
      </c>
      <c r="I12" s="4" t="n">
        <v>0.6</v>
      </c>
      <c r="J12" s="4" t="n">
        <v>0</v>
      </c>
      <c r="K12" s="4" t="n">
        <v>0.6</v>
      </c>
      <c r="L12" s="3" t="n">
        <v>26.4</v>
      </c>
      <c r="M12" s="4" t="n">
        <f aca="false">IF(K12&lt;&gt;"",K12,I12)</f>
        <v>0.6</v>
      </c>
      <c r="N12" s="2" t="str">
        <f aca="false">IF(K12="","n/a (no discount)",IF(ABS(I12-J12-K12)&lt;=0.0001,"OK","CHECK"))</f>
        <v>OK</v>
      </c>
      <c r="O12" s="3" t="n">
        <f aca="false">ROUND(M12*H12,2)</f>
        <v>26.4</v>
      </c>
      <c r="P12" s="5" t="n">
        <f aca="false">O12-L12</f>
        <v>0</v>
      </c>
      <c r="Q12" s="2" t="str">
        <f aca="false">IF(ABS(P12)&lt;=0.011,"OK","CHECK")</f>
        <v>OK</v>
      </c>
    </row>
    <row r="13" customFormat="false" ht="15" hidden="false" customHeight="false" outlineLevel="0" collapsed="false">
      <c r="A13" s="2" t="s">
        <v>39</v>
      </c>
      <c r="B13" s="2" t="s">
        <v>40</v>
      </c>
      <c r="C13" s="2" t="s">
        <v>41</v>
      </c>
      <c r="D13" s="2" t="n">
        <v>95615</v>
      </c>
      <c r="E13" s="2" t="s">
        <v>42</v>
      </c>
      <c r="F13" s="2" t="s">
        <v>21</v>
      </c>
      <c r="G13" s="2" t="s">
        <v>43</v>
      </c>
      <c r="H13" s="3" t="n">
        <v>495</v>
      </c>
      <c r="I13" s="4" t="n">
        <v>1.8116</v>
      </c>
      <c r="J13" s="4" t="n">
        <v>0.205</v>
      </c>
      <c r="K13" s="4" t="n">
        <v>1.6066</v>
      </c>
      <c r="L13" s="3" t="n">
        <v>795.27</v>
      </c>
      <c r="M13" s="4" t="n">
        <f aca="false">IF(K13&lt;&gt;"",K13,I13)</f>
        <v>1.6066</v>
      </c>
      <c r="N13" s="2" t="str">
        <f aca="false">IF(K13="","n/a (no discount)",IF(ABS(I13-J13-K13)&lt;=0.0001,"OK","CHECK"))</f>
        <v>OK</v>
      </c>
      <c r="O13" s="3" t="n">
        <f aca="false">ROUND(M13*H13,2)</f>
        <v>795.27</v>
      </c>
      <c r="P13" s="5" t="n">
        <f aca="false">O13-L13</f>
        <v>0</v>
      </c>
      <c r="Q13" s="2" t="str">
        <f aca="false">IF(ABS(P13)&lt;=0.011,"OK","CHECK")</f>
        <v>OK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s">
        <v>44</v>
      </c>
      <c r="D14" s="2" t="n">
        <v>95632</v>
      </c>
      <c r="E14" s="2" t="s">
        <v>42</v>
      </c>
      <c r="F14" s="2" t="s">
        <v>21</v>
      </c>
      <c r="G14" s="2" t="s">
        <v>43</v>
      </c>
      <c r="H14" s="3" t="n">
        <v>260.02</v>
      </c>
      <c r="I14" s="4" t="n">
        <v>1.8116</v>
      </c>
      <c r="J14" s="4" t="n">
        <v>0.205</v>
      </c>
      <c r="K14" s="4" t="n">
        <v>1.6066</v>
      </c>
      <c r="L14" s="3" t="n">
        <v>417.75</v>
      </c>
      <c r="M14" s="4" t="n">
        <f aca="false">IF(K14&lt;&gt;"",K14,I14)</f>
        <v>1.6066</v>
      </c>
      <c r="N14" s="2" t="str">
        <f aca="false">IF(K14="","n/a (no discount)",IF(ABS(I14-J14-K14)&lt;=0.0001,"OK","CHECK"))</f>
        <v>OK</v>
      </c>
      <c r="O14" s="3" t="n">
        <f aca="false">ROUND(M14*H14,2)</f>
        <v>417.75</v>
      </c>
      <c r="P14" s="5" t="n">
        <f aca="false">O14-L14</f>
        <v>0</v>
      </c>
      <c r="Q14" s="2" t="str">
        <f aca="false">IF(ABS(P14)&lt;=0.011,"OK","CHECK")</f>
        <v>OK</v>
      </c>
    </row>
    <row r="15" customFormat="false" ht="15" hidden="false" customHeight="false" outlineLevel="0" collapsed="false">
      <c r="A15" s="2" t="s">
        <v>39</v>
      </c>
      <c r="B15" s="2" t="s">
        <v>40</v>
      </c>
      <c r="C15" s="2" t="s">
        <v>45</v>
      </c>
      <c r="D15" s="2" t="n">
        <v>95650</v>
      </c>
      <c r="E15" s="2" t="s">
        <v>42</v>
      </c>
      <c r="F15" s="2" t="s">
        <v>21</v>
      </c>
      <c r="G15" s="2" t="s">
        <v>43</v>
      </c>
      <c r="H15" s="3" t="n">
        <v>129</v>
      </c>
      <c r="I15" s="4" t="n">
        <v>1.8116</v>
      </c>
      <c r="J15" s="4" t="n">
        <v>0.205</v>
      </c>
      <c r="K15" s="4" t="n">
        <v>1.6066</v>
      </c>
      <c r="L15" s="3" t="n">
        <v>207.26</v>
      </c>
      <c r="M15" s="4" t="n">
        <f aca="false">IF(K15&lt;&gt;"",K15,I15)</f>
        <v>1.6066</v>
      </c>
      <c r="N15" s="2" t="str">
        <f aca="false">IF(K15="","n/a (no discount)",IF(ABS(I15-J15-K15)&lt;=0.0001,"OK","CHECK"))</f>
        <v>OK</v>
      </c>
      <c r="O15" s="3" t="n">
        <f aca="false">ROUND(M15*H15,2)</f>
        <v>207.25</v>
      </c>
      <c r="P15" s="5" t="n">
        <f aca="false">O15-L15</f>
        <v>-0.00999999999999091</v>
      </c>
      <c r="Q15" s="2" t="str">
        <f aca="false">IF(ABS(P15)&lt;=0.011,"OK","CHECK")</f>
        <v>OK</v>
      </c>
    </row>
    <row r="16" customFormat="false" ht="15" hidden="false" customHeight="false" outlineLevel="0" collapsed="false">
      <c r="A16" s="2" t="s">
        <v>39</v>
      </c>
      <c r="B16" s="2" t="s">
        <v>40</v>
      </c>
      <c r="C16" s="2" t="s">
        <v>46</v>
      </c>
      <c r="D16" s="2" t="n">
        <v>95664</v>
      </c>
      <c r="E16" s="2" t="s">
        <v>42</v>
      </c>
      <c r="F16" s="2" t="s">
        <v>31</v>
      </c>
      <c r="G16" s="2" t="s">
        <v>43</v>
      </c>
      <c r="H16" s="3" t="n">
        <v>81.02</v>
      </c>
      <c r="I16" s="4" t="n">
        <v>0.6</v>
      </c>
      <c r="J16" s="4" t="n">
        <v>0</v>
      </c>
      <c r="K16" s="4" t="n">
        <v>0.6</v>
      </c>
      <c r="L16" s="3" t="n">
        <v>48.62</v>
      </c>
      <c r="M16" s="4" t="n">
        <f aca="false">IF(K16&lt;&gt;"",K16,I16)</f>
        <v>0.6</v>
      </c>
      <c r="N16" s="2" t="str">
        <f aca="false">IF(K16="","n/a (no discount)",IF(ABS(I16-J16-K16)&lt;=0.0001,"OK","CHECK"))</f>
        <v>OK</v>
      </c>
      <c r="O16" s="3" t="n">
        <f aca="false">ROUND(M16*H16,2)</f>
        <v>48.61</v>
      </c>
      <c r="P16" s="5" t="n">
        <f aca="false">O16-L16</f>
        <v>-0.00999999999999801</v>
      </c>
      <c r="Q16" s="2" t="str">
        <f aca="false">IF(ABS(P16)&lt;=0.011,"OK","CHECK")</f>
        <v>OK</v>
      </c>
    </row>
    <row r="17" customFormat="false" ht="15" hidden="false" customHeight="false" outlineLevel="0" collapsed="false">
      <c r="A17" s="2" t="s">
        <v>47</v>
      </c>
      <c r="B17" s="2" t="s">
        <v>34</v>
      </c>
      <c r="C17" s="2" t="s">
        <v>48</v>
      </c>
      <c r="D17" s="2" t="n">
        <v>84064</v>
      </c>
      <c r="E17" s="2" t="s">
        <v>49</v>
      </c>
      <c r="F17" s="2" t="s">
        <v>21</v>
      </c>
      <c r="G17" s="2" t="s">
        <v>27</v>
      </c>
      <c r="H17" s="3" t="n">
        <v>602.43</v>
      </c>
      <c r="I17" s="4" t="n">
        <v>1.7488</v>
      </c>
      <c r="J17" s="4" t="n">
        <v>0.205</v>
      </c>
      <c r="K17" s="4" t="n">
        <v>1.5438</v>
      </c>
      <c r="L17" s="3" t="n">
        <v>930.04</v>
      </c>
      <c r="M17" s="4" t="n">
        <f aca="false">IF(K17&lt;&gt;"",K17,I17)</f>
        <v>1.5438</v>
      </c>
      <c r="N17" s="2" t="str">
        <f aca="false">IF(K17="","n/a (no discount)",IF(ABS(I17-J17-K17)&lt;=0.0001,"OK","CHECK"))</f>
        <v>OK</v>
      </c>
      <c r="O17" s="3" t="n">
        <f aca="false">ROUND(M17*H17,2)</f>
        <v>930.03</v>
      </c>
      <c r="P17" s="5" t="n">
        <f aca="false">O17-L17</f>
        <v>-0.00999999999999091</v>
      </c>
      <c r="Q17" s="2" t="str">
        <f aca="false">IF(ABS(P17)&lt;=0.011,"OK","CHECK")</f>
        <v>OK</v>
      </c>
    </row>
    <row r="18" customFormat="false" ht="15" hidden="false" customHeight="false" outlineLevel="0" collapsed="false">
      <c r="A18" s="2" t="s">
        <v>47</v>
      </c>
      <c r="B18" s="2" t="s">
        <v>34</v>
      </c>
      <c r="C18" s="2" t="s">
        <v>50</v>
      </c>
      <c r="D18" s="2" t="n">
        <v>84092</v>
      </c>
      <c r="E18" s="2" t="s">
        <v>49</v>
      </c>
      <c r="F18" s="2" t="s">
        <v>21</v>
      </c>
      <c r="G18" s="2" t="s">
        <v>27</v>
      </c>
      <c r="H18" s="3" t="n">
        <v>303.85</v>
      </c>
      <c r="I18" s="4" t="n">
        <v>1.7488</v>
      </c>
      <c r="J18" s="4" t="n">
        <v>0.205</v>
      </c>
      <c r="K18" s="4" t="n">
        <v>1.5438</v>
      </c>
      <c r="L18" s="3" t="n">
        <v>469.09</v>
      </c>
      <c r="M18" s="4" t="n">
        <f aca="false">IF(K18&lt;&gt;"",K18,I18)</f>
        <v>1.5438</v>
      </c>
      <c r="N18" s="2" t="str">
        <f aca="false">IF(K18="","n/a (no discount)",IF(ABS(I18-J18-K18)&lt;=0.0001,"OK","CHECK"))</f>
        <v>OK</v>
      </c>
      <c r="O18" s="3" t="n">
        <f aca="false">ROUND(M18*H18,2)</f>
        <v>469.08</v>
      </c>
      <c r="P18" s="5" t="n">
        <f aca="false">O18-L18</f>
        <v>-0.00999999999999091</v>
      </c>
      <c r="Q18" s="2" t="str">
        <f aca="false">IF(ABS(P18)&lt;=0.011,"OK","CHECK")</f>
        <v>OK</v>
      </c>
    </row>
    <row r="19" customFormat="false" ht="15" hidden="false" customHeight="false" outlineLevel="0" collapsed="false">
      <c r="A19" s="2" t="s">
        <v>47</v>
      </c>
      <c r="B19" s="2" t="s">
        <v>34</v>
      </c>
      <c r="C19" s="2" t="s">
        <v>51</v>
      </c>
      <c r="D19" s="2" t="n">
        <v>84104</v>
      </c>
      <c r="E19" s="2" t="s">
        <v>49</v>
      </c>
      <c r="F19" s="2" t="s">
        <v>21</v>
      </c>
      <c r="G19" s="2" t="s">
        <v>27</v>
      </c>
      <c r="H19" s="3" t="n">
        <v>16.77</v>
      </c>
      <c r="I19" s="4" t="n">
        <v>1.7488</v>
      </c>
      <c r="J19" s="4" t="n">
        <v>0.205</v>
      </c>
      <c r="K19" s="4" t="n">
        <v>1.5438</v>
      </c>
      <c r="L19" s="3" t="n">
        <v>25.89</v>
      </c>
      <c r="M19" s="4" t="n">
        <f aca="false">IF(K19&lt;&gt;"",K19,I19)</f>
        <v>1.5438</v>
      </c>
      <c r="N19" s="2" t="str">
        <f aca="false">IF(K19="","n/a (no discount)",IF(ABS(I19-J19-K19)&lt;=0.0001,"OK","CHECK"))</f>
        <v>OK</v>
      </c>
      <c r="O19" s="3" t="n">
        <f aca="false">ROUND(M19*H19,2)</f>
        <v>25.89</v>
      </c>
      <c r="P19" s="5" t="n">
        <f aca="false">O19-L19</f>
        <v>0</v>
      </c>
      <c r="Q19" s="2" t="str">
        <f aca="false">IF(ABS(P19)&lt;=0.011,"OK","CHECK")</f>
        <v>OK</v>
      </c>
    </row>
    <row r="20" customFormat="false" ht="15" hidden="false" customHeight="false" outlineLevel="0" collapsed="false">
      <c r="A20" s="2" t="s">
        <v>47</v>
      </c>
      <c r="B20" s="2" t="s">
        <v>52</v>
      </c>
      <c r="C20" s="2" t="s">
        <v>53</v>
      </c>
      <c r="D20" s="2" t="n">
        <v>98837</v>
      </c>
      <c r="E20" s="2" t="s">
        <v>49</v>
      </c>
      <c r="F20" s="2" t="s">
        <v>21</v>
      </c>
      <c r="G20" s="2" t="s">
        <v>43</v>
      </c>
      <c r="H20" s="3" t="n">
        <v>301.16</v>
      </c>
      <c r="I20" s="4" t="n">
        <v>1.7694</v>
      </c>
      <c r="J20" s="4" t="n">
        <v>0.205</v>
      </c>
      <c r="K20" s="4" t="n">
        <v>1.5644</v>
      </c>
      <c r="L20" s="3" t="n">
        <v>471.14</v>
      </c>
      <c r="M20" s="4" t="n">
        <f aca="false">IF(K20&lt;&gt;"",K20,I20)</f>
        <v>1.5644</v>
      </c>
      <c r="N20" s="2" t="str">
        <f aca="false">IF(K20="","n/a (no discount)",IF(ABS(I20-J20-K20)&lt;=0.0001,"OK","CHECK"))</f>
        <v>OK</v>
      </c>
      <c r="O20" s="3" t="n">
        <f aca="false">ROUND(M20*H20,2)</f>
        <v>471.13</v>
      </c>
      <c r="P20" s="5" t="n">
        <f aca="false">O20-L20</f>
        <v>-0.00999999999999091</v>
      </c>
      <c r="Q20" s="2" t="str">
        <f aca="false">IF(ABS(P20)&lt;=0.011,"OK","CHECK")</f>
        <v>OK</v>
      </c>
    </row>
    <row r="21" customFormat="false" ht="15" hidden="false" customHeight="false" outlineLevel="0" collapsed="false">
      <c r="A21" s="2" t="s">
        <v>47</v>
      </c>
      <c r="B21" s="2" t="s">
        <v>52</v>
      </c>
      <c r="C21" s="2" t="s">
        <v>54</v>
      </c>
      <c r="D21" s="2" t="n">
        <v>98855</v>
      </c>
      <c r="E21" s="2" t="s">
        <v>49</v>
      </c>
      <c r="F21" s="2" t="s">
        <v>21</v>
      </c>
      <c r="G21" s="2" t="s">
        <v>43</v>
      </c>
      <c r="H21" s="3" t="n">
        <v>157.64</v>
      </c>
      <c r="I21" s="4" t="n">
        <v>1.7694</v>
      </c>
      <c r="J21" s="4" t="n">
        <v>0.205</v>
      </c>
      <c r="K21" s="4" t="n">
        <v>1.5644</v>
      </c>
      <c r="L21" s="3" t="n">
        <v>246.62</v>
      </c>
      <c r="M21" s="4" t="n">
        <f aca="false">IF(K21&lt;&gt;"",K21,I21)</f>
        <v>1.5644</v>
      </c>
      <c r="N21" s="2" t="str">
        <f aca="false">IF(K21="","n/a (no discount)",IF(ABS(I21-J21-K21)&lt;=0.0001,"OK","CHECK"))</f>
        <v>OK</v>
      </c>
      <c r="O21" s="3" t="n">
        <f aca="false">ROUND(M21*H21,2)</f>
        <v>246.61</v>
      </c>
      <c r="P21" s="5" t="n">
        <f aca="false">O21-L21</f>
        <v>-0.00999999999999091</v>
      </c>
      <c r="Q21" s="2" t="str">
        <f aca="false">IF(ABS(P21)&lt;=0.011,"OK","CHECK")</f>
        <v>OK</v>
      </c>
    </row>
    <row r="22" customFormat="false" ht="15" hidden="false" customHeight="false" outlineLevel="0" collapsed="false">
      <c r="A22" s="2" t="s">
        <v>47</v>
      </c>
      <c r="B22" s="2" t="s">
        <v>52</v>
      </c>
      <c r="C22" s="2" t="s">
        <v>55</v>
      </c>
      <c r="D22" s="2" t="n">
        <v>98870</v>
      </c>
      <c r="E22" s="2" t="s">
        <v>49</v>
      </c>
      <c r="F22" s="2" t="s">
        <v>21</v>
      </c>
      <c r="G22" s="2" t="s">
        <v>43</v>
      </c>
      <c r="H22" s="3" t="n">
        <v>16.23</v>
      </c>
      <c r="I22" s="4" t="n">
        <v>1.7694</v>
      </c>
      <c r="J22" s="4" t="n">
        <v>0.205</v>
      </c>
      <c r="K22" s="4" t="n">
        <v>1.5644</v>
      </c>
      <c r="L22" s="3" t="n">
        <v>25.4</v>
      </c>
      <c r="M22" s="4" t="n">
        <f aca="false">IF(K22&lt;&gt;"",K22,I22)</f>
        <v>1.5644</v>
      </c>
      <c r="N22" s="2" t="str">
        <f aca="false">IF(K22="","n/a (no discount)",IF(ABS(I22-J22-K22)&lt;=0.0001,"OK","CHECK"))</f>
        <v>OK</v>
      </c>
      <c r="O22" s="3" t="n">
        <f aca="false">ROUND(M22*H22,2)</f>
        <v>25.39</v>
      </c>
      <c r="P22" s="5" t="n">
        <f aca="false">O22-L22</f>
        <v>-0.00999999999999801</v>
      </c>
      <c r="Q22" s="2" t="str">
        <f aca="false">IF(ABS(P22)&lt;=0.011,"OK","CHECK")</f>
        <v>OK</v>
      </c>
    </row>
    <row r="23" customFormat="false" ht="15" hidden="false" customHeight="false" outlineLevel="0" collapsed="false">
      <c r="A23" s="2" t="s">
        <v>47</v>
      </c>
      <c r="B23" s="2" t="s">
        <v>34</v>
      </c>
      <c r="C23" s="2" t="s">
        <v>56</v>
      </c>
      <c r="D23" s="2" t="n">
        <v>84077</v>
      </c>
      <c r="E23" s="2" t="s">
        <v>49</v>
      </c>
      <c r="F23" s="2" t="s">
        <v>31</v>
      </c>
      <c r="G23" s="2" t="s">
        <v>27</v>
      </c>
      <c r="H23" s="3" t="n">
        <v>79.77</v>
      </c>
      <c r="I23" s="4" t="n">
        <v>0.6</v>
      </c>
      <c r="J23" s="4" t="n">
        <v>0</v>
      </c>
      <c r="K23" s="4" t="n">
        <v>0.6</v>
      </c>
      <c r="L23" s="3" t="n">
        <v>47.87</v>
      </c>
      <c r="M23" s="4" t="n">
        <f aca="false">IF(K23&lt;&gt;"",K23,I23)</f>
        <v>0.6</v>
      </c>
      <c r="N23" s="2" t="str">
        <f aca="false">IF(K23="","n/a (no discount)",IF(ABS(I23-J23-K23)&lt;=0.0001,"OK","CHECK"))</f>
        <v>OK</v>
      </c>
      <c r="O23" s="3" t="n">
        <f aca="false">ROUND(M23*H23,2)</f>
        <v>47.86</v>
      </c>
      <c r="P23" s="5" t="n">
        <f aca="false">O23-L23</f>
        <v>-0.00999999999999801</v>
      </c>
      <c r="Q23" s="2" t="str">
        <f aca="false">IF(ABS(P23)&lt;=0.011,"OK","CHECK")</f>
        <v>OK</v>
      </c>
    </row>
    <row r="24" customFormat="false" ht="15" hidden="false" customHeight="false" outlineLevel="0" collapsed="false">
      <c r="A24" s="2" t="s">
        <v>47</v>
      </c>
      <c r="B24" s="2" t="s">
        <v>52</v>
      </c>
      <c r="C24" s="2" t="s">
        <v>57</v>
      </c>
      <c r="D24" s="2" t="n">
        <v>98877</v>
      </c>
      <c r="E24" s="2" t="s">
        <v>49</v>
      </c>
      <c r="F24" s="2" t="s">
        <v>31</v>
      </c>
      <c r="G24" s="2" t="s">
        <v>43</v>
      </c>
      <c r="H24" s="3" t="n">
        <v>30.39</v>
      </c>
      <c r="I24" s="4" t="n">
        <v>0.6</v>
      </c>
      <c r="J24" s="4" t="n">
        <v>0</v>
      </c>
      <c r="K24" s="4" t="n">
        <v>0.6</v>
      </c>
      <c r="L24" s="3" t="n">
        <v>18.24</v>
      </c>
      <c r="M24" s="4" t="n">
        <f aca="false">IF(K24&lt;&gt;"",K24,I24)</f>
        <v>0.6</v>
      </c>
      <c r="N24" s="2" t="str">
        <f aca="false">IF(K24="","n/a (no discount)",IF(ABS(I24-J24-K24)&lt;=0.0001,"OK","CHECK"))</f>
        <v>OK</v>
      </c>
      <c r="O24" s="3" t="n">
        <f aca="false">ROUND(M24*H24,2)</f>
        <v>18.23</v>
      </c>
      <c r="P24" s="5" t="n">
        <f aca="false">O24-L24</f>
        <v>-0.00999999999999801</v>
      </c>
      <c r="Q24" s="2" t="str">
        <f aca="false">IF(ABS(P24)&lt;=0.011,"OK","CHECK")</f>
        <v>OK</v>
      </c>
    </row>
    <row r="25" customFormat="false" ht="15" hidden="false" customHeight="false" outlineLevel="0" collapsed="false">
      <c r="A25" s="2" t="s">
        <v>58</v>
      </c>
      <c r="B25" s="2" t="s">
        <v>25</v>
      </c>
      <c r="C25" s="2" t="s">
        <v>59</v>
      </c>
      <c r="D25" s="2" t="n">
        <v>251637</v>
      </c>
      <c r="E25" s="2" t="s">
        <v>60</v>
      </c>
      <c r="F25" s="2" t="s">
        <v>21</v>
      </c>
      <c r="G25" s="2" t="s">
        <v>61</v>
      </c>
      <c r="H25" s="3" t="n">
        <v>620.35</v>
      </c>
      <c r="I25" s="4" t="n">
        <v>1.6843</v>
      </c>
      <c r="J25" s="4" t="n">
        <v>0.19</v>
      </c>
      <c r="K25" s="4" t="n">
        <v>1.4943</v>
      </c>
      <c r="L25" s="3" t="n">
        <v>926.99</v>
      </c>
      <c r="M25" s="4" t="n">
        <f aca="false">IF(K25&lt;&gt;"",K25,I25)</f>
        <v>1.4943</v>
      </c>
      <c r="N25" s="2" t="str">
        <f aca="false">IF(K25="","n/a (no discount)",IF(ABS(I25-J25-K25)&lt;=0.0001,"OK","CHECK"))</f>
        <v>OK</v>
      </c>
      <c r="O25" s="3" t="n">
        <f aca="false">ROUND(M25*H25,2)</f>
        <v>926.99</v>
      </c>
      <c r="P25" s="5" t="n">
        <f aca="false">O25-L25</f>
        <v>0</v>
      </c>
      <c r="Q25" s="2" t="str">
        <f aca="false">IF(ABS(P25)&lt;=0.011,"OK","CHECK")</f>
        <v>OK</v>
      </c>
    </row>
    <row r="26" customFormat="false" ht="15" hidden="false" customHeight="false" outlineLevel="0" collapsed="false">
      <c r="A26" s="2" t="s">
        <v>58</v>
      </c>
      <c r="B26" s="2" t="s">
        <v>25</v>
      </c>
      <c r="C26" s="2" t="s">
        <v>62</v>
      </c>
      <c r="D26" s="2" t="n">
        <v>251689</v>
      </c>
      <c r="E26" s="2" t="s">
        <v>60</v>
      </c>
      <c r="F26" s="2" t="s">
        <v>21</v>
      </c>
      <c r="G26" s="2" t="s">
        <v>61</v>
      </c>
      <c r="H26" s="3" t="n">
        <v>154.53</v>
      </c>
      <c r="I26" s="4" t="n">
        <v>1.6843</v>
      </c>
      <c r="J26" s="4" t="n">
        <v>0.19</v>
      </c>
      <c r="K26" s="4" t="n">
        <v>1.4943</v>
      </c>
      <c r="L26" s="3" t="n">
        <v>230.92</v>
      </c>
      <c r="M26" s="4" t="n">
        <f aca="false">IF(K26&lt;&gt;"",K26,I26)</f>
        <v>1.4943</v>
      </c>
      <c r="N26" s="2" t="str">
        <f aca="false">IF(K26="","n/a (no discount)",IF(ABS(I26-J26-K26)&lt;=0.0001,"OK","CHECK"))</f>
        <v>OK</v>
      </c>
      <c r="O26" s="3" t="n">
        <f aca="false">ROUND(M26*H26,2)</f>
        <v>230.91</v>
      </c>
      <c r="P26" s="5" t="n">
        <f aca="false">O26-L26</f>
        <v>-0.00999999999999091</v>
      </c>
      <c r="Q26" s="2" t="str">
        <f aca="false">IF(ABS(P26)&lt;=0.011,"OK","CHECK")</f>
        <v>OK</v>
      </c>
    </row>
    <row r="27" customFormat="false" ht="15" hidden="false" customHeight="false" outlineLevel="0" collapsed="false">
      <c r="A27" s="2" t="s">
        <v>58</v>
      </c>
      <c r="B27" s="2" t="s">
        <v>25</v>
      </c>
      <c r="C27" s="2" t="s">
        <v>63</v>
      </c>
      <c r="D27" s="2" t="n">
        <v>251662</v>
      </c>
      <c r="E27" s="2" t="s">
        <v>60</v>
      </c>
      <c r="F27" s="2" t="s">
        <v>31</v>
      </c>
      <c r="G27" s="2" t="s">
        <v>61</v>
      </c>
      <c r="H27" s="3" t="n">
        <v>58.93</v>
      </c>
      <c r="I27" s="4" t="n">
        <v>0.675</v>
      </c>
      <c r="J27" s="4"/>
      <c r="K27" s="4"/>
      <c r="L27" s="3" t="n">
        <v>39.78</v>
      </c>
      <c r="M27" s="4" t="n">
        <f aca="false">IF(K27&lt;&gt;"",K27,I27)</f>
        <v>0.675</v>
      </c>
      <c r="N27" s="2" t="str">
        <f aca="false">IF(K27="","n/a (no discount)",IF(ABS(I27-J27-K27)&lt;=0.0001,"OK","CHECK"))</f>
        <v>n/a (no discount)</v>
      </c>
      <c r="O27" s="3" t="n">
        <f aca="false">ROUND(M27*H27,2)</f>
        <v>39.78</v>
      </c>
      <c r="P27" s="5" t="n">
        <f aca="false">O27-L27</f>
        <v>0</v>
      </c>
      <c r="Q27" s="2" t="str">
        <f aca="false">IF(ABS(P27)&lt;=0.011,"OK","CHECK")</f>
        <v>OK</v>
      </c>
    </row>
    <row r="28" customFormat="false" ht="15" hidden="false" customHeight="false" outlineLevel="0" collapsed="false">
      <c r="A28" s="2" t="s">
        <v>64</v>
      </c>
      <c r="B28" s="2" t="s">
        <v>65</v>
      </c>
      <c r="C28" s="2" t="s">
        <v>66</v>
      </c>
      <c r="D28" s="2" t="n">
        <v>100414</v>
      </c>
      <c r="E28" s="2" t="s">
        <v>67</v>
      </c>
      <c r="F28" s="2" t="s">
        <v>21</v>
      </c>
      <c r="G28" s="2" t="s">
        <v>43</v>
      </c>
      <c r="H28" s="3" t="n">
        <v>555</v>
      </c>
      <c r="I28" s="4" t="n">
        <v>1.7694</v>
      </c>
      <c r="J28" s="4" t="n">
        <v>0.205</v>
      </c>
      <c r="K28" s="4" t="n">
        <v>1.5644</v>
      </c>
      <c r="L28" s="3" t="n">
        <v>868.25</v>
      </c>
      <c r="M28" s="4" t="n">
        <f aca="false">IF(K28&lt;&gt;"",K28,I28)</f>
        <v>1.5644</v>
      </c>
      <c r="N28" s="2" t="str">
        <f aca="false">IF(K28="","n/a (no discount)",IF(ABS(I28-J28-K28)&lt;=0.0001,"OK","CHECK"))</f>
        <v>OK</v>
      </c>
      <c r="O28" s="3" t="n">
        <f aca="false">ROUND(M28*H28,2)</f>
        <v>868.24</v>
      </c>
      <c r="P28" s="5" t="n">
        <f aca="false">O28-L28</f>
        <v>-0.00999999999999091</v>
      </c>
      <c r="Q28" s="2" t="str">
        <f aca="false">IF(ABS(P28)&lt;=0.011,"OK","CHECK")</f>
        <v>OK</v>
      </c>
    </row>
    <row r="29" customFormat="false" ht="15" hidden="false" customHeight="false" outlineLevel="0" collapsed="false">
      <c r="A29" s="2" t="s">
        <v>64</v>
      </c>
      <c r="B29" s="2" t="s">
        <v>65</v>
      </c>
      <c r="C29" s="2" t="s">
        <v>68</v>
      </c>
      <c r="D29" s="2" t="n">
        <v>100424</v>
      </c>
      <c r="E29" s="2" t="s">
        <v>67</v>
      </c>
      <c r="F29" s="2" t="s">
        <v>21</v>
      </c>
      <c r="G29" s="2" t="s">
        <v>43</v>
      </c>
      <c r="H29" s="3" t="n">
        <v>300</v>
      </c>
      <c r="I29" s="4" t="n">
        <v>1.7694</v>
      </c>
      <c r="J29" s="4" t="n">
        <v>0.205</v>
      </c>
      <c r="K29" s="4" t="n">
        <v>1.5644</v>
      </c>
      <c r="L29" s="3" t="n">
        <v>469.32</v>
      </c>
      <c r="M29" s="4" t="n">
        <f aca="false">IF(K29&lt;&gt;"",K29,I29)</f>
        <v>1.5644</v>
      </c>
      <c r="N29" s="2" t="str">
        <f aca="false">IF(K29="","n/a (no discount)",IF(ABS(I29-J29-K29)&lt;=0.0001,"OK","CHECK"))</f>
        <v>OK</v>
      </c>
      <c r="O29" s="3" t="n">
        <f aca="false">ROUND(M29*H29,2)</f>
        <v>469.32</v>
      </c>
      <c r="P29" s="5" t="n">
        <f aca="false">O29-L29</f>
        <v>0</v>
      </c>
      <c r="Q29" s="2" t="str">
        <f aca="false">IF(ABS(P29)&lt;=0.011,"OK","CHECK")</f>
        <v>OK</v>
      </c>
    </row>
    <row r="30" customFormat="false" ht="15" hidden="false" customHeight="false" outlineLevel="0" collapsed="false">
      <c r="A30" s="2" t="s">
        <v>64</v>
      </c>
      <c r="B30" s="2" t="s">
        <v>65</v>
      </c>
      <c r="C30" s="2" t="s">
        <v>69</v>
      </c>
      <c r="D30" s="2" t="n">
        <v>100438</v>
      </c>
      <c r="E30" s="2" t="s">
        <v>67</v>
      </c>
      <c r="F30" s="2" t="s">
        <v>21</v>
      </c>
      <c r="G30" s="2" t="s">
        <v>43</v>
      </c>
      <c r="H30" s="3" t="n">
        <v>160</v>
      </c>
      <c r="I30" s="4" t="n">
        <v>1.7694</v>
      </c>
      <c r="J30" s="4" t="n">
        <v>0.205</v>
      </c>
      <c r="K30" s="4" t="n">
        <v>1.5644</v>
      </c>
      <c r="L30" s="3" t="n">
        <v>250.31</v>
      </c>
      <c r="M30" s="4" t="n">
        <f aca="false">IF(K30&lt;&gt;"",K30,I30)</f>
        <v>1.5644</v>
      </c>
      <c r="N30" s="2" t="str">
        <f aca="false">IF(K30="","n/a (no discount)",IF(ABS(I30-J30-K30)&lt;=0.0001,"OK","CHECK"))</f>
        <v>OK</v>
      </c>
      <c r="O30" s="3" t="n">
        <f aca="false">ROUND(M30*H30,2)</f>
        <v>250.3</v>
      </c>
      <c r="P30" s="5" t="n">
        <f aca="false">O30-L30</f>
        <v>-0.00999999999999091</v>
      </c>
      <c r="Q30" s="2" t="str">
        <f aca="false">IF(ABS(P30)&lt;=0.011,"OK","CHECK")</f>
        <v>OK</v>
      </c>
    </row>
    <row r="31" customFormat="false" ht="15" hidden="false" customHeight="false" outlineLevel="0" collapsed="false">
      <c r="A31" s="2" t="s">
        <v>64</v>
      </c>
      <c r="B31" s="2" t="s">
        <v>65</v>
      </c>
      <c r="C31" s="2" t="s">
        <v>70</v>
      </c>
      <c r="D31" s="2" t="n">
        <v>100431</v>
      </c>
      <c r="E31" s="2" t="s">
        <v>67</v>
      </c>
      <c r="F31" s="2" t="s">
        <v>31</v>
      </c>
      <c r="G31" s="2" t="s">
        <v>43</v>
      </c>
      <c r="H31" s="3" t="n">
        <v>57</v>
      </c>
      <c r="I31" s="4" t="n">
        <v>0.6</v>
      </c>
      <c r="J31" s="4" t="n">
        <v>0</v>
      </c>
      <c r="K31" s="4" t="n">
        <v>0.6</v>
      </c>
      <c r="L31" s="3" t="n">
        <v>34.2</v>
      </c>
      <c r="M31" s="4" t="n">
        <f aca="false">IF(K31&lt;&gt;"",K31,I31)</f>
        <v>0.6</v>
      </c>
      <c r="N31" s="2" t="str">
        <f aca="false">IF(K31="","n/a (no discount)",IF(ABS(I31-J31-K31)&lt;=0.0001,"OK","CHECK"))</f>
        <v>OK</v>
      </c>
      <c r="O31" s="3" t="n">
        <f aca="false">ROUND(M31*H31,2)</f>
        <v>34.2</v>
      </c>
      <c r="P31" s="5" t="n">
        <f aca="false">O31-L31</f>
        <v>0</v>
      </c>
      <c r="Q31" s="2" t="str">
        <f aca="false">IF(ABS(P31)&lt;=0.011,"OK","CHECK")</f>
        <v>OK</v>
      </c>
    </row>
    <row r="32" customFormat="false" ht="15" hidden="false" customHeight="false" outlineLevel="0" collapsed="false">
      <c r="A32" s="2" t="s">
        <v>71</v>
      </c>
      <c r="B32" s="2" t="s">
        <v>72</v>
      </c>
      <c r="C32" s="2" t="s">
        <v>73</v>
      </c>
      <c r="D32" s="2" t="n">
        <v>107916</v>
      </c>
      <c r="E32" s="2" t="s">
        <v>74</v>
      </c>
      <c r="F32" s="2" t="s">
        <v>21</v>
      </c>
      <c r="G32" s="2" t="s">
        <v>43</v>
      </c>
      <c r="H32" s="3" t="n">
        <v>580</v>
      </c>
      <c r="I32" s="4" t="n">
        <v>1.7694</v>
      </c>
      <c r="J32" s="4" t="n">
        <v>0.205</v>
      </c>
      <c r="K32" s="4" t="n">
        <v>1.5644</v>
      </c>
      <c r="L32" s="3" t="n">
        <v>907.36</v>
      </c>
      <c r="M32" s="4" t="n">
        <f aca="false">IF(K32&lt;&gt;"",K32,I32)</f>
        <v>1.5644</v>
      </c>
      <c r="N32" s="2" t="str">
        <f aca="false">IF(K32="","n/a (no discount)",IF(ABS(I32-J32-K32)&lt;=0.0001,"OK","CHECK"))</f>
        <v>OK</v>
      </c>
      <c r="O32" s="3" t="n">
        <f aca="false">ROUND(M32*H32,2)</f>
        <v>907.35</v>
      </c>
      <c r="P32" s="5" t="n">
        <f aca="false">O32-L32</f>
        <v>-0.00999999999999091</v>
      </c>
      <c r="Q32" s="2" t="str">
        <f aca="false">IF(ABS(P32)&lt;=0.011,"OK","CHECK")</f>
        <v>OK</v>
      </c>
    </row>
    <row r="33" customFormat="false" ht="15" hidden="false" customHeight="false" outlineLevel="0" collapsed="false">
      <c r="A33" s="2" t="s">
        <v>71</v>
      </c>
      <c r="B33" s="2" t="s">
        <v>72</v>
      </c>
      <c r="C33" s="2" t="s">
        <v>75</v>
      </c>
      <c r="D33" s="2" t="n">
        <v>107938</v>
      </c>
      <c r="E33" s="2" t="s">
        <v>74</v>
      </c>
      <c r="F33" s="2" t="s">
        <v>21</v>
      </c>
      <c r="G33" s="2" t="s">
        <v>43</v>
      </c>
      <c r="H33" s="3" t="n">
        <v>310</v>
      </c>
      <c r="I33" s="4" t="n">
        <v>1.7694</v>
      </c>
      <c r="J33" s="4" t="n">
        <v>0.205</v>
      </c>
      <c r="K33" s="4" t="n">
        <v>1.5644</v>
      </c>
      <c r="L33" s="3" t="n">
        <v>484.97</v>
      </c>
      <c r="M33" s="4" t="n">
        <f aca="false">IF(K33&lt;&gt;"",K33,I33)</f>
        <v>1.5644</v>
      </c>
      <c r="N33" s="2" t="str">
        <f aca="false">IF(K33="","n/a (no discount)",IF(ABS(I33-J33-K33)&lt;=0.0001,"OK","CHECK"))</f>
        <v>OK</v>
      </c>
      <c r="O33" s="3" t="n">
        <f aca="false">ROUND(M33*H33,2)</f>
        <v>484.96</v>
      </c>
      <c r="P33" s="5" t="n">
        <f aca="false">O33-L33</f>
        <v>-0.0100000000000477</v>
      </c>
      <c r="Q33" s="2" t="str">
        <f aca="false">IF(ABS(P33)&lt;=0.011,"OK","CHECK")</f>
        <v>OK</v>
      </c>
    </row>
    <row r="34" customFormat="false" ht="15" hidden="false" customHeight="false" outlineLevel="0" collapsed="false">
      <c r="A34" s="2" t="s">
        <v>71</v>
      </c>
      <c r="B34" s="2" t="s">
        <v>72</v>
      </c>
      <c r="C34" s="2" t="s">
        <v>76</v>
      </c>
      <c r="D34" s="2" t="n">
        <v>107952</v>
      </c>
      <c r="E34" s="2" t="s">
        <v>74</v>
      </c>
      <c r="F34" s="2" t="s">
        <v>21</v>
      </c>
      <c r="G34" s="2" t="s">
        <v>43</v>
      </c>
      <c r="H34" s="3" t="n">
        <v>120</v>
      </c>
      <c r="I34" s="4" t="n">
        <v>1.7694</v>
      </c>
      <c r="J34" s="4" t="n">
        <v>0.205</v>
      </c>
      <c r="K34" s="4" t="n">
        <v>1.5644</v>
      </c>
      <c r="L34" s="3" t="n">
        <v>187.73</v>
      </c>
      <c r="M34" s="4" t="n">
        <f aca="false">IF(K34&lt;&gt;"",K34,I34)</f>
        <v>1.5644</v>
      </c>
      <c r="N34" s="2" t="str">
        <f aca="false">IF(K34="","n/a (no discount)",IF(ABS(I34-J34-K34)&lt;=0.0001,"OK","CHECK"))</f>
        <v>OK</v>
      </c>
      <c r="O34" s="3" t="n">
        <f aca="false">ROUND(M34*H34,2)</f>
        <v>187.73</v>
      </c>
      <c r="P34" s="5" t="n">
        <f aca="false">O34-L34</f>
        <v>0</v>
      </c>
      <c r="Q34" s="2" t="str">
        <f aca="false">IF(ABS(P34)&lt;=0.011,"OK","CHECK")</f>
        <v>OK</v>
      </c>
    </row>
    <row r="35" customFormat="false" ht="15" hidden="false" customHeight="false" outlineLevel="0" collapsed="false">
      <c r="A35" s="2" t="s">
        <v>71</v>
      </c>
      <c r="B35" s="2" t="s">
        <v>72</v>
      </c>
      <c r="C35" s="2" t="s">
        <v>77</v>
      </c>
      <c r="D35" s="2" t="n">
        <v>107966</v>
      </c>
      <c r="E35" s="2" t="s">
        <v>74</v>
      </c>
      <c r="F35" s="2" t="s">
        <v>31</v>
      </c>
      <c r="G35" s="2" t="s">
        <v>43</v>
      </c>
      <c r="H35" s="3" t="n">
        <v>56.71</v>
      </c>
      <c r="I35" s="4" t="n">
        <v>0.6</v>
      </c>
      <c r="J35" s="4" t="n">
        <v>0</v>
      </c>
      <c r="K35" s="4" t="n">
        <v>0.6</v>
      </c>
      <c r="L35" s="3" t="n">
        <v>34.03</v>
      </c>
      <c r="M35" s="4" t="n">
        <f aca="false">IF(K35&lt;&gt;"",K35,I35)</f>
        <v>0.6</v>
      </c>
      <c r="N35" s="2" t="str">
        <f aca="false">IF(K35="","n/a (no discount)",IF(ABS(I35-J35-K35)&lt;=0.0001,"OK","CHECK"))</f>
        <v>OK</v>
      </c>
      <c r="O35" s="3" t="n">
        <f aca="false">ROUND(M35*H35,2)</f>
        <v>34.03</v>
      </c>
      <c r="P35" s="5" t="n">
        <f aca="false">O35-L35</f>
        <v>0</v>
      </c>
      <c r="Q35" s="2" t="str">
        <f aca="false">IF(ABS(P35)&lt;=0.011,"OK","CHECK")</f>
        <v>OK</v>
      </c>
    </row>
    <row r="36" customFormat="false" ht="15" hidden="false" customHeight="false" outlineLevel="0" collapsed="false">
      <c r="A36" s="2" t="s">
        <v>78</v>
      </c>
      <c r="B36" s="2" t="s">
        <v>52</v>
      </c>
      <c r="C36" s="2" t="s">
        <v>79</v>
      </c>
      <c r="D36" s="2" t="n">
        <v>98533</v>
      </c>
      <c r="E36" s="2" t="s">
        <v>80</v>
      </c>
      <c r="F36" s="2" t="s">
        <v>21</v>
      </c>
      <c r="G36" s="2" t="s">
        <v>27</v>
      </c>
      <c r="H36" s="3" t="n">
        <v>120</v>
      </c>
      <c r="I36" s="4" t="n">
        <v>1.7694</v>
      </c>
      <c r="J36" s="4" t="n">
        <v>0.205</v>
      </c>
      <c r="K36" s="4" t="n">
        <v>1.5644</v>
      </c>
      <c r="L36" s="3" t="n">
        <v>187.73</v>
      </c>
      <c r="M36" s="4" t="n">
        <f aca="false">IF(K36&lt;&gt;"",K36,I36)</f>
        <v>1.5644</v>
      </c>
      <c r="N36" s="2" t="str">
        <f aca="false">IF(K36="","n/a (no discount)",IF(ABS(I36-J36-K36)&lt;=0.0001,"OK","CHECK"))</f>
        <v>OK</v>
      </c>
      <c r="O36" s="3" t="n">
        <f aca="false">ROUND(M36*H36,2)</f>
        <v>187.73</v>
      </c>
      <c r="P36" s="5" t="n">
        <f aca="false">O36-L36</f>
        <v>0</v>
      </c>
      <c r="Q36" s="2" t="str">
        <f aca="false">IF(ABS(P36)&lt;=0.011,"OK","CHECK")</f>
        <v>OK</v>
      </c>
    </row>
    <row r="37" customFormat="false" ht="15" hidden="false" customHeight="false" outlineLevel="0" collapsed="false">
      <c r="A37" s="2" t="s">
        <v>78</v>
      </c>
      <c r="B37" s="2" t="s">
        <v>52</v>
      </c>
      <c r="C37" s="2" t="s">
        <v>81</v>
      </c>
      <c r="D37" s="2" t="n">
        <v>98555</v>
      </c>
      <c r="E37" s="2" t="s">
        <v>80</v>
      </c>
      <c r="F37" s="2" t="s">
        <v>21</v>
      </c>
      <c r="G37" s="2" t="s">
        <v>27</v>
      </c>
      <c r="H37" s="3" t="n">
        <v>400</v>
      </c>
      <c r="I37" s="4" t="n">
        <v>1.7694</v>
      </c>
      <c r="J37" s="4" t="n">
        <v>0.205</v>
      </c>
      <c r="K37" s="4" t="n">
        <v>1.5644</v>
      </c>
      <c r="L37" s="3" t="n">
        <v>625.76</v>
      </c>
      <c r="M37" s="4" t="n">
        <f aca="false">IF(K37&lt;&gt;"",K37,I37)</f>
        <v>1.5644</v>
      </c>
      <c r="N37" s="2" t="str">
        <f aca="false">IF(K37="","n/a (no discount)",IF(ABS(I37-J37-K37)&lt;=0.0001,"OK","CHECK"))</f>
        <v>OK</v>
      </c>
      <c r="O37" s="3" t="n">
        <f aca="false">ROUND(M37*H37,2)</f>
        <v>625.76</v>
      </c>
      <c r="P37" s="5" t="n">
        <f aca="false">O37-L37</f>
        <v>0</v>
      </c>
      <c r="Q37" s="2" t="str">
        <f aca="false">IF(ABS(P37)&lt;=0.011,"OK","CHECK")</f>
        <v>OK</v>
      </c>
    </row>
    <row r="38" customFormat="false" ht="15" hidden="false" customHeight="false" outlineLevel="0" collapsed="false">
      <c r="A38" s="2" t="s">
        <v>78</v>
      </c>
      <c r="B38" s="2" t="s">
        <v>82</v>
      </c>
      <c r="C38" s="2" t="s">
        <v>83</v>
      </c>
      <c r="D38" s="2" t="n">
        <v>248135</v>
      </c>
      <c r="E38" s="2" t="s">
        <v>80</v>
      </c>
      <c r="F38" s="2" t="s">
        <v>21</v>
      </c>
      <c r="G38" s="2" t="s">
        <v>22</v>
      </c>
      <c r="H38" s="3" t="n">
        <v>205.1</v>
      </c>
      <c r="I38" s="4" t="n">
        <v>1.5944</v>
      </c>
      <c r="J38" s="4"/>
      <c r="K38" s="4"/>
      <c r="L38" s="3" t="n">
        <v>327.02</v>
      </c>
      <c r="M38" s="4" t="n">
        <f aca="false">IF(K38&lt;&gt;"",K38,I38)</f>
        <v>1.5944</v>
      </c>
      <c r="N38" s="2" t="str">
        <f aca="false">IF(K38="","n/a (no discount)",IF(ABS(I38-J38-K38)&lt;=0.0001,"OK","CHECK"))</f>
        <v>n/a (no discount)</v>
      </c>
      <c r="O38" s="3" t="n">
        <f aca="false">ROUND(M38*H38,2)</f>
        <v>327.01</v>
      </c>
      <c r="P38" s="5" t="n">
        <f aca="false">O38-L38</f>
        <v>-0.00999999999999091</v>
      </c>
      <c r="Q38" s="2" t="str">
        <f aca="false">IF(ABS(P38)&lt;=0.011,"OK","CHECK")</f>
        <v>OK</v>
      </c>
    </row>
    <row r="39" customFormat="false" ht="15" hidden="false" customHeight="false" outlineLevel="0" collapsed="false">
      <c r="A39" s="2" t="s">
        <v>78</v>
      </c>
      <c r="B39" s="2" t="s">
        <v>82</v>
      </c>
      <c r="C39" s="2" t="s">
        <v>84</v>
      </c>
      <c r="D39" s="2" t="n">
        <v>248142</v>
      </c>
      <c r="E39" s="2" t="s">
        <v>80</v>
      </c>
      <c r="F39" s="2" t="s">
        <v>21</v>
      </c>
      <c r="G39" s="2" t="s">
        <v>22</v>
      </c>
      <c r="H39" s="3" t="n">
        <v>340</v>
      </c>
      <c r="I39" s="4" t="n">
        <v>1.5944</v>
      </c>
      <c r="J39" s="4"/>
      <c r="K39" s="4"/>
      <c r="L39" s="3" t="n">
        <v>542.1</v>
      </c>
      <c r="M39" s="4" t="n">
        <f aca="false">IF(K39&lt;&gt;"",K39,I39)</f>
        <v>1.5944</v>
      </c>
      <c r="N39" s="2" t="str">
        <f aca="false">IF(K39="","n/a (no discount)",IF(ABS(I39-J39-K39)&lt;=0.0001,"OK","CHECK"))</f>
        <v>n/a (no discount)</v>
      </c>
      <c r="O39" s="3" t="n">
        <f aca="false">ROUND(M39*H39,2)</f>
        <v>542.1</v>
      </c>
      <c r="P39" s="5" t="n">
        <f aca="false">O39-L39</f>
        <v>0</v>
      </c>
      <c r="Q39" s="2" t="str">
        <f aca="false">IF(ABS(P39)&lt;=0.011,"OK","CHECK")</f>
        <v>OK</v>
      </c>
    </row>
    <row r="40" customFormat="false" ht="15" hidden="false" customHeight="false" outlineLevel="0" collapsed="false">
      <c r="A40" s="2" t="s">
        <v>78</v>
      </c>
      <c r="B40" s="2" t="s">
        <v>82</v>
      </c>
      <c r="C40" s="2" t="s">
        <v>85</v>
      </c>
      <c r="D40" s="2" t="n">
        <v>248149</v>
      </c>
      <c r="E40" s="2" t="s">
        <v>80</v>
      </c>
      <c r="F40" s="2" t="s">
        <v>21</v>
      </c>
      <c r="G40" s="2" t="s">
        <v>22</v>
      </c>
      <c r="H40" s="3" t="n">
        <v>550</v>
      </c>
      <c r="I40" s="4" t="n">
        <v>1.5944</v>
      </c>
      <c r="J40" s="4"/>
      <c r="K40" s="4"/>
      <c r="L40" s="3" t="n">
        <v>876.92</v>
      </c>
      <c r="M40" s="4" t="n">
        <f aca="false">IF(K40&lt;&gt;"",K40,I40)</f>
        <v>1.5944</v>
      </c>
      <c r="N40" s="2" t="str">
        <f aca="false">IF(K40="","n/a (no discount)",IF(ABS(I40-J40-K40)&lt;=0.0001,"OK","CHECK"))</f>
        <v>n/a (no discount)</v>
      </c>
      <c r="O40" s="3" t="n">
        <f aca="false">ROUND(M40*H40,2)</f>
        <v>876.92</v>
      </c>
      <c r="P40" s="5" t="n">
        <f aca="false">O40-L40</f>
        <v>0</v>
      </c>
      <c r="Q40" s="2" t="str">
        <f aca="false">IF(ABS(P40)&lt;=0.011,"OK","CHECK")</f>
        <v>OK</v>
      </c>
    </row>
    <row r="41" customFormat="false" ht="15" hidden="false" customHeight="false" outlineLevel="0" collapsed="false">
      <c r="A41" s="2" t="s">
        <v>78</v>
      </c>
      <c r="B41" s="2" t="s">
        <v>82</v>
      </c>
      <c r="C41" s="2" t="s">
        <v>86</v>
      </c>
      <c r="D41" s="2" t="n">
        <v>248157</v>
      </c>
      <c r="E41" s="2" t="s">
        <v>80</v>
      </c>
      <c r="F41" s="2" t="s">
        <v>31</v>
      </c>
      <c r="G41" s="2" t="s">
        <v>22</v>
      </c>
      <c r="H41" s="3" t="n">
        <v>78</v>
      </c>
      <c r="I41" s="4" t="n">
        <v>0.675</v>
      </c>
      <c r="J41" s="4"/>
      <c r="K41" s="4"/>
      <c r="L41" s="3" t="n">
        <v>52.65</v>
      </c>
      <c r="M41" s="4" t="n">
        <f aca="false">IF(K41&lt;&gt;"",K41,I41)</f>
        <v>0.675</v>
      </c>
      <c r="N41" s="2" t="str">
        <f aca="false">IF(K41="","n/a (no discount)",IF(ABS(I41-J41-K41)&lt;=0.0001,"OK","CHECK"))</f>
        <v>n/a (no discount)</v>
      </c>
      <c r="O41" s="3" t="n">
        <f aca="false">ROUND(M41*H41,2)</f>
        <v>52.65</v>
      </c>
      <c r="P41" s="5" t="n">
        <f aca="false">O41-L41</f>
        <v>0</v>
      </c>
      <c r="Q41" s="2" t="str">
        <f aca="false">IF(ABS(P41)&lt;=0.011,"OK","CHECK")</f>
        <v>OK</v>
      </c>
    </row>
    <row r="42" customFormat="false" ht="15" hidden="false" customHeight="false" outlineLevel="0" collapsed="false">
      <c r="A42" s="2" t="s">
        <v>87</v>
      </c>
      <c r="B42" s="2" t="s">
        <v>52</v>
      </c>
      <c r="C42" s="2" t="s">
        <v>88</v>
      </c>
      <c r="D42" s="2" t="n">
        <v>98635</v>
      </c>
      <c r="E42" s="2" t="s">
        <v>89</v>
      </c>
      <c r="F42" s="2" t="s">
        <v>21</v>
      </c>
      <c r="G42" s="2" t="s">
        <v>27</v>
      </c>
      <c r="H42" s="3" t="n">
        <v>354.49</v>
      </c>
      <c r="I42" s="4" t="n">
        <v>1.7694</v>
      </c>
      <c r="J42" s="4" t="n">
        <v>0.205</v>
      </c>
      <c r="K42" s="4" t="n">
        <v>1.5644</v>
      </c>
      <c r="L42" s="3" t="n">
        <v>554.57</v>
      </c>
      <c r="M42" s="4" t="n">
        <f aca="false">IF(K42&lt;&gt;"",K42,I42)</f>
        <v>1.5644</v>
      </c>
      <c r="N42" s="2" t="str">
        <f aca="false">IF(K42="","n/a (no discount)",IF(ABS(I42-J42-K42)&lt;=0.0001,"OK","CHECK"))</f>
        <v>OK</v>
      </c>
      <c r="O42" s="3" t="n">
        <f aca="false">ROUND(M42*H42,2)</f>
        <v>554.56</v>
      </c>
      <c r="P42" s="5" t="n">
        <f aca="false">O42-L42</f>
        <v>-0.0100000000001046</v>
      </c>
      <c r="Q42" s="2" t="str">
        <f aca="false">IF(ABS(P42)&lt;=0.011,"OK","CHECK")</f>
        <v>OK</v>
      </c>
    </row>
    <row r="43" customFormat="false" ht="15" hidden="false" customHeight="false" outlineLevel="0" collapsed="false">
      <c r="A43" s="2" t="s">
        <v>87</v>
      </c>
      <c r="B43" s="2" t="s">
        <v>52</v>
      </c>
      <c r="C43" s="2" t="s">
        <v>90</v>
      </c>
      <c r="D43" s="2" t="n">
        <v>98648</v>
      </c>
      <c r="E43" s="2" t="s">
        <v>89</v>
      </c>
      <c r="F43" s="2" t="s">
        <v>21</v>
      </c>
      <c r="G43" s="2" t="s">
        <v>27</v>
      </c>
      <c r="H43" s="3" t="n">
        <v>384.26</v>
      </c>
      <c r="I43" s="4" t="n">
        <v>1.7694</v>
      </c>
      <c r="J43" s="4" t="n">
        <v>0.205</v>
      </c>
      <c r="K43" s="4" t="n">
        <v>1.5644</v>
      </c>
      <c r="L43" s="3" t="n">
        <v>601.14</v>
      </c>
      <c r="M43" s="4" t="n">
        <f aca="false">IF(K43&lt;&gt;"",K43,I43)</f>
        <v>1.5644</v>
      </c>
      <c r="N43" s="2" t="str">
        <f aca="false">IF(K43="","n/a (no discount)",IF(ABS(I43-J43-K43)&lt;=0.0001,"OK","CHECK"))</f>
        <v>OK</v>
      </c>
      <c r="O43" s="3" t="n">
        <f aca="false">ROUND(M43*H43,2)</f>
        <v>601.14</v>
      </c>
      <c r="P43" s="5" t="n">
        <f aca="false">O43-L43</f>
        <v>0</v>
      </c>
      <c r="Q43" s="2" t="str">
        <f aca="false">IF(ABS(P43)&lt;=0.011,"OK","CHECK")</f>
        <v>OK</v>
      </c>
    </row>
    <row r="44" customFormat="false" ht="15" hidden="false" customHeight="false" outlineLevel="0" collapsed="false">
      <c r="A44" s="2" t="s">
        <v>87</v>
      </c>
      <c r="B44" s="2" t="s">
        <v>52</v>
      </c>
      <c r="C44" s="2" t="s">
        <v>91</v>
      </c>
      <c r="D44" s="2" t="n">
        <v>98663</v>
      </c>
      <c r="E44" s="2" t="s">
        <v>89</v>
      </c>
      <c r="F44" s="2" t="s">
        <v>31</v>
      </c>
      <c r="G44" s="2" t="s">
        <v>27</v>
      </c>
      <c r="H44" s="3" t="n">
        <v>26.75</v>
      </c>
      <c r="I44" s="4" t="n">
        <v>0.6</v>
      </c>
      <c r="J44" s="4" t="n">
        <v>0</v>
      </c>
      <c r="K44" s="4" t="n">
        <v>0.6</v>
      </c>
      <c r="L44" s="3" t="n">
        <v>16.05</v>
      </c>
      <c r="M44" s="4" t="n">
        <f aca="false">IF(K44&lt;&gt;"",K44,I44)</f>
        <v>0.6</v>
      </c>
      <c r="N44" s="2" t="str">
        <f aca="false">IF(K44="","n/a (no discount)",IF(ABS(I44-J44-K44)&lt;=0.0001,"OK","CHECK"))</f>
        <v>OK</v>
      </c>
      <c r="O44" s="3" t="n">
        <f aca="false">ROUND(M44*H44,2)</f>
        <v>16.05</v>
      </c>
      <c r="P44" s="5" t="n">
        <f aca="false">O44-L44</f>
        <v>0</v>
      </c>
      <c r="Q44" s="2" t="str">
        <f aca="false">IF(ABS(P44)&lt;=0.011,"OK","CHECK")</f>
        <v>OK</v>
      </c>
    </row>
    <row r="45" customFormat="false" ht="15" hidden="false" customHeight="false" outlineLevel="0" collapsed="false">
      <c r="A45" s="2" t="s">
        <v>92</v>
      </c>
      <c r="B45" s="2" t="s">
        <v>82</v>
      </c>
      <c r="C45" s="2" t="s">
        <v>93</v>
      </c>
      <c r="D45" s="2" t="n">
        <v>114524</v>
      </c>
      <c r="E45" s="2" t="s">
        <v>94</v>
      </c>
      <c r="F45" s="2" t="s">
        <v>21</v>
      </c>
      <c r="G45" s="2" t="s">
        <v>43</v>
      </c>
      <c r="H45" s="3" t="n">
        <v>235.06</v>
      </c>
      <c r="I45" s="4" t="n">
        <v>1.7694</v>
      </c>
      <c r="J45" s="4" t="n">
        <v>0.205</v>
      </c>
      <c r="K45" s="4" t="n">
        <v>1.5644</v>
      </c>
      <c r="L45" s="3" t="n">
        <v>367.73</v>
      </c>
      <c r="M45" s="4" t="n">
        <f aca="false">IF(K45&lt;&gt;"",K45,I45)</f>
        <v>1.5644</v>
      </c>
      <c r="N45" s="2" t="str">
        <f aca="false">IF(K45="","n/a (no discount)",IF(ABS(I45-J45-K45)&lt;=0.0001,"OK","CHECK"))</f>
        <v>OK</v>
      </c>
      <c r="O45" s="3" t="n">
        <f aca="false">ROUND(M45*H45,2)</f>
        <v>367.73</v>
      </c>
      <c r="P45" s="5" t="n">
        <f aca="false">O45-L45</f>
        <v>0</v>
      </c>
      <c r="Q45" s="2" t="str">
        <f aca="false">IF(ABS(P45)&lt;=0.011,"OK","CHECK")</f>
        <v>OK</v>
      </c>
    </row>
    <row r="46" customFormat="false" ht="15" hidden="false" customHeight="false" outlineLevel="0" collapsed="false">
      <c r="A46" s="2" t="s">
        <v>92</v>
      </c>
      <c r="B46" s="2" t="s">
        <v>82</v>
      </c>
      <c r="C46" s="2" t="s">
        <v>95</v>
      </c>
      <c r="D46" s="2" t="n">
        <v>114532</v>
      </c>
      <c r="E46" s="2" t="s">
        <v>94</v>
      </c>
      <c r="F46" s="2" t="s">
        <v>21</v>
      </c>
      <c r="G46" s="2" t="s">
        <v>43</v>
      </c>
      <c r="H46" s="3" t="n">
        <v>258.85</v>
      </c>
      <c r="I46" s="4" t="n">
        <v>1.7694</v>
      </c>
      <c r="J46" s="4" t="n">
        <v>0.205</v>
      </c>
      <c r="K46" s="4" t="n">
        <v>1.5644</v>
      </c>
      <c r="L46" s="3" t="n">
        <v>404.95</v>
      </c>
      <c r="M46" s="4" t="n">
        <f aca="false">IF(K46&lt;&gt;"",K46,I46)</f>
        <v>1.5644</v>
      </c>
      <c r="N46" s="2" t="str">
        <f aca="false">IF(K46="","n/a (no discount)",IF(ABS(I46-J46-K46)&lt;=0.0001,"OK","CHECK"))</f>
        <v>OK</v>
      </c>
      <c r="O46" s="3" t="n">
        <f aca="false">ROUND(M46*H46,2)</f>
        <v>404.94</v>
      </c>
      <c r="P46" s="5" t="n">
        <f aca="false">O46-L46</f>
        <v>-0.00999999999999091</v>
      </c>
      <c r="Q46" s="2" t="str">
        <f aca="false">IF(ABS(P46)&lt;=0.011,"OK","CHECK")</f>
        <v>OK</v>
      </c>
    </row>
    <row r="47" customFormat="false" ht="15" hidden="false" customHeight="false" outlineLevel="0" collapsed="false">
      <c r="A47" s="2" t="s">
        <v>92</v>
      </c>
      <c r="B47" s="2" t="s">
        <v>82</v>
      </c>
      <c r="C47" s="2" t="s">
        <v>96</v>
      </c>
      <c r="D47" s="2" t="n">
        <v>114543</v>
      </c>
      <c r="E47" s="2" t="s">
        <v>94</v>
      </c>
      <c r="F47" s="2" t="s">
        <v>21</v>
      </c>
      <c r="G47" s="2" t="s">
        <v>43</v>
      </c>
      <c r="H47" s="3" t="n">
        <v>433.73</v>
      </c>
      <c r="I47" s="4" t="n">
        <v>1.7694</v>
      </c>
      <c r="J47" s="4" t="n">
        <v>0.205</v>
      </c>
      <c r="K47" s="4" t="n">
        <v>1.5644</v>
      </c>
      <c r="L47" s="3" t="n">
        <v>678.53</v>
      </c>
      <c r="M47" s="4" t="n">
        <f aca="false">IF(K47&lt;&gt;"",K47,I47)</f>
        <v>1.5644</v>
      </c>
      <c r="N47" s="2" t="str">
        <f aca="false">IF(K47="","n/a (no discount)",IF(ABS(I47-J47-K47)&lt;=0.0001,"OK","CHECK"))</f>
        <v>OK</v>
      </c>
      <c r="O47" s="3" t="n">
        <f aca="false">ROUND(M47*H47,2)</f>
        <v>678.53</v>
      </c>
      <c r="P47" s="5" t="n">
        <f aca="false">O47-L47</f>
        <v>0</v>
      </c>
      <c r="Q47" s="2" t="str">
        <f aca="false">IF(ABS(P47)&lt;=0.011,"OK","CHECK")</f>
        <v>OK</v>
      </c>
    </row>
    <row r="48" customFormat="false" ht="15" hidden="false" customHeight="false" outlineLevel="0" collapsed="false">
      <c r="A48" s="2" t="s">
        <v>92</v>
      </c>
      <c r="B48" s="2" t="s">
        <v>82</v>
      </c>
      <c r="C48" s="2" t="s">
        <v>97</v>
      </c>
      <c r="D48" s="2" t="n">
        <v>114563</v>
      </c>
      <c r="E48" s="2" t="s">
        <v>94</v>
      </c>
      <c r="F48" s="2" t="s">
        <v>31</v>
      </c>
      <c r="G48" s="2" t="s">
        <v>43</v>
      </c>
      <c r="H48" s="3" t="n">
        <v>48.4</v>
      </c>
      <c r="I48" s="4" t="n">
        <v>0.6</v>
      </c>
      <c r="J48" s="4" t="n">
        <v>0</v>
      </c>
      <c r="K48" s="4" t="n">
        <v>0.6</v>
      </c>
      <c r="L48" s="3" t="n">
        <v>29.04</v>
      </c>
      <c r="M48" s="4" t="n">
        <f aca="false">IF(K48&lt;&gt;"",K48,I48)</f>
        <v>0.6</v>
      </c>
      <c r="N48" s="2" t="str">
        <f aca="false">IF(K48="","n/a (no discount)",IF(ABS(I48-J48-K48)&lt;=0.0001,"OK","CHECK"))</f>
        <v>OK</v>
      </c>
      <c r="O48" s="3" t="n">
        <f aca="false">ROUND(M48*H48,2)</f>
        <v>29.04</v>
      </c>
      <c r="P48" s="5" t="n">
        <f aca="false">O48-L48</f>
        <v>0</v>
      </c>
      <c r="Q48" s="2" t="str">
        <f aca="false">IF(ABS(P48)&lt;=0.011,"OK","CHECK")</f>
        <v>OK</v>
      </c>
    </row>
    <row r="49" customFormat="false" ht="15" hidden="false" customHeight="false" outlineLevel="0" collapsed="false">
      <c r="A49" s="2" t="s">
        <v>98</v>
      </c>
      <c r="B49" s="2" t="s">
        <v>99</v>
      </c>
      <c r="C49" s="2" t="s">
        <v>100</v>
      </c>
      <c r="D49" s="2" t="n">
        <v>92552</v>
      </c>
      <c r="E49" s="2" t="s">
        <v>101</v>
      </c>
      <c r="F49" s="2" t="s">
        <v>21</v>
      </c>
      <c r="G49" s="2" t="s">
        <v>43</v>
      </c>
      <c r="H49" s="3" t="n">
        <v>467.67</v>
      </c>
      <c r="I49" s="4" t="n">
        <v>1.8116</v>
      </c>
      <c r="J49" s="4" t="n">
        <v>0.205</v>
      </c>
      <c r="K49" s="4" t="n">
        <v>1.6066</v>
      </c>
      <c r="L49" s="3" t="n">
        <v>751.36</v>
      </c>
      <c r="M49" s="4" t="n">
        <f aca="false">IF(K49&lt;&gt;"",K49,I49)</f>
        <v>1.6066</v>
      </c>
      <c r="N49" s="2" t="str">
        <f aca="false">IF(K49="","n/a (no discount)",IF(ABS(I49-J49-K49)&lt;=0.0001,"OK","CHECK"))</f>
        <v>OK</v>
      </c>
      <c r="O49" s="3" t="n">
        <f aca="false">ROUND(M49*H49,2)</f>
        <v>751.36</v>
      </c>
      <c r="P49" s="5" t="n">
        <f aca="false">O49-L49</f>
        <v>0</v>
      </c>
      <c r="Q49" s="2" t="str">
        <f aca="false">IF(ABS(P49)&lt;=0.011,"OK","CHECK")</f>
        <v>OK</v>
      </c>
    </row>
    <row r="50" customFormat="false" ht="15" hidden="false" customHeight="false" outlineLevel="0" collapsed="false">
      <c r="A50" s="2" t="s">
        <v>98</v>
      </c>
      <c r="B50" s="2" t="s">
        <v>99</v>
      </c>
      <c r="C50" s="2" t="s">
        <v>102</v>
      </c>
      <c r="D50" s="2" t="n">
        <v>92578</v>
      </c>
      <c r="E50" s="2" t="s">
        <v>101</v>
      </c>
      <c r="F50" s="2" t="s">
        <v>21</v>
      </c>
      <c r="G50" s="2" t="s">
        <v>43</v>
      </c>
      <c r="H50" s="3" t="n">
        <v>250.4</v>
      </c>
      <c r="I50" s="4" t="n">
        <v>1.8116</v>
      </c>
      <c r="J50" s="4" t="n">
        <v>0.205</v>
      </c>
      <c r="K50" s="4" t="n">
        <v>1.6066</v>
      </c>
      <c r="L50" s="3" t="n">
        <v>402.3</v>
      </c>
      <c r="M50" s="4" t="n">
        <f aca="false">IF(K50&lt;&gt;"",K50,I50)</f>
        <v>1.6066</v>
      </c>
      <c r="N50" s="2" t="str">
        <f aca="false">IF(K50="","n/a (no discount)",IF(ABS(I50-J50-K50)&lt;=0.0001,"OK","CHECK"))</f>
        <v>OK</v>
      </c>
      <c r="O50" s="3" t="n">
        <f aca="false">ROUND(M50*H50,2)</f>
        <v>402.29</v>
      </c>
      <c r="P50" s="5" t="n">
        <f aca="false">O50-L50</f>
        <v>-0.00999999999999091</v>
      </c>
      <c r="Q50" s="2" t="str">
        <f aca="false">IF(ABS(P50)&lt;=0.011,"OK","CHECK")</f>
        <v>OK</v>
      </c>
    </row>
    <row r="51" customFormat="false" ht="15" hidden="false" customHeight="false" outlineLevel="0" collapsed="false">
      <c r="A51" s="2" t="s">
        <v>98</v>
      </c>
      <c r="B51" s="2" t="s">
        <v>99</v>
      </c>
      <c r="C51" s="2" t="s">
        <v>93</v>
      </c>
      <c r="D51" s="2" t="n">
        <v>92584</v>
      </c>
      <c r="E51" s="2" t="s">
        <v>101</v>
      </c>
      <c r="F51" s="2" t="s">
        <v>21</v>
      </c>
      <c r="G51" s="2" t="s">
        <v>43</v>
      </c>
      <c r="H51" s="3" t="n">
        <v>99.57</v>
      </c>
      <c r="I51" s="4" t="n">
        <v>1.8116</v>
      </c>
      <c r="J51" s="4" t="n">
        <v>0.205</v>
      </c>
      <c r="K51" s="4" t="n">
        <v>1.6066</v>
      </c>
      <c r="L51" s="3" t="n">
        <v>159.97</v>
      </c>
      <c r="M51" s="4" t="n">
        <f aca="false">IF(K51&lt;&gt;"",K51,I51)</f>
        <v>1.6066</v>
      </c>
      <c r="N51" s="2" t="str">
        <f aca="false">IF(K51="","n/a (no discount)",IF(ABS(I51-J51-K51)&lt;=0.0001,"OK","CHECK"))</f>
        <v>OK</v>
      </c>
      <c r="O51" s="3" t="n">
        <f aca="false">ROUND(M51*H51,2)</f>
        <v>159.97</v>
      </c>
      <c r="P51" s="5" t="n">
        <f aca="false">O51-L51</f>
        <v>0</v>
      </c>
      <c r="Q51" s="2" t="str">
        <f aca="false">IF(ABS(P51)&lt;=0.011,"OK","CHECK")</f>
        <v>OK</v>
      </c>
    </row>
    <row r="52" customFormat="false" ht="15" hidden="false" customHeight="false" outlineLevel="0" collapsed="false">
      <c r="A52" s="2" t="s">
        <v>98</v>
      </c>
      <c r="B52" s="2" t="s">
        <v>103</v>
      </c>
      <c r="C52" s="2" t="s">
        <v>104</v>
      </c>
      <c r="D52" s="2" t="n">
        <v>119873</v>
      </c>
      <c r="E52" s="2" t="s">
        <v>101</v>
      </c>
      <c r="F52" s="2" t="s">
        <v>21</v>
      </c>
      <c r="G52" s="2" t="s">
        <v>43</v>
      </c>
      <c r="H52" s="3" t="n">
        <v>563.1</v>
      </c>
      <c r="I52" s="4" t="n">
        <v>1.6843</v>
      </c>
      <c r="J52" s="4" t="n">
        <v>0.205</v>
      </c>
      <c r="K52" s="4" t="n">
        <v>1.4793</v>
      </c>
      <c r="L52" s="3" t="n">
        <v>833</v>
      </c>
      <c r="M52" s="4" t="n">
        <f aca="false">IF(K52&lt;&gt;"",K52,I52)</f>
        <v>1.4793</v>
      </c>
      <c r="N52" s="2" t="str">
        <f aca="false">IF(K52="","n/a (no discount)",IF(ABS(I52-J52-K52)&lt;=0.0001,"OK","CHECK"))</f>
        <v>OK</v>
      </c>
      <c r="O52" s="3" t="n">
        <f aca="false">ROUND(M52*H52,2)</f>
        <v>832.99</v>
      </c>
      <c r="P52" s="5" t="n">
        <f aca="false">O52-L52</f>
        <v>-0.00999999999999091</v>
      </c>
      <c r="Q52" s="2" t="str">
        <f aca="false">IF(ABS(P52)&lt;=0.011,"OK","CHECK")</f>
        <v>OK</v>
      </c>
    </row>
    <row r="53" customFormat="false" ht="15" hidden="false" customHeight="false" outlineLevel="0" collapsed="false">
      <c r="A53" s="2" t="s">
        <v>98</v>
      </c>
      <c r="B53" s="2" t="s">
        <v>103</v>
      </c>
      <c r="C53" s="2" t="s">
        <v>105</v>
      </c>
      <c r="D53" s="2" t="n">
        <v>119911</v>
      </c>
      <c r="E53" s="2" t="s">
        <v>101</v>
      </c>
      <c r="F53" s="2" t="s">
        <v>21</v>
      </c>
      <c r="G53" s="2" t="s">
        <v>43</v>
      </c>
      <c r="H53" s="3" t="n">
        <v>288.72</v>
      </c>
      <c r="I53" s="4" t="n">
        <v>1.6843</v>
      </c>
      <c r="J53" s="4" t="n">
        <v>0.205</v>
      </c>
      <c r="K53" s="4" t="n">
        <v>1.4793</v>
      </c>
      <c r="L53" s="3" t="n">
        <v>427.11</v>
      </c>
      <c r="M53" s="4" t="n">
        <f aca="false">IF(K53&lt;&gt;"",K53,I53)</f>
        <v>1.4793</v>
      </c>
      <c r="N53" s="2" t="str">
        <f aca="false">IF(K53="","n/a (no discount)",IF(ABS(I53-J53-K53)&lt;=0.0001,"OK","CHECK"))</f>
        <v>OK</v>
      </c>
      <c r="O53" s="3" t="n">
        <f aca="false">ROUND(M53*H53,2)</f>
        <v>427.1</v>
      </c>
      <c r="P53" s="5" t="n">
        <f aca="false">O53-L53</f>
        <v>-0.00999999999999091</v>
      </c>
      <c r="Q53" s="2" t="str">
        <f aca="false">IF(ABS(P53)&lt;=0.011,"OK","CHECK")</f>
        <v>OK</v>
      </c>
    </row>
    <row r="54" customFormat="false" ht="15" hidden="false" customHeight="false" outlineLevel="0" collapsed="false">
      <c r="A54" s="2" t="s">
        <v>98</v>
      </c>
      <c r="B54" s="2" t="s">
        <v>103</v>
      </c>
      <c r="C54" s="2" t="s">
        <v>106</v>
      </c>
      <c r="D54" s="2" t="n">
        <v>119930</v>
      </c>
      <c r="E54" s="2" t="s">
        <v>101</v>
      </c>
      <c r="F54" s="2" t="s">
        <v>21</v>
      </c>
      <c r="G54" s="2" t="s">
        <v>43</v>
      </c>
      <c r="H54" s="3" t="n">
        <v>188.34</v>
      </c>
      <c r="I54" s="4" t="n">
        <v>1.6843</v>
      </c>
      <c r="J54" s="4" t="n">
        <v>0.205</v>
      </c>
      <c r="K54" s="4" t="n">
        <v>1.4793</v>
      </c>
      <c r="L54" s="3" t="n">
        <v>278.62</v>
      </c>
      <c r="M54" s="4" t="n">
        <f aca="false">IF(K54&lt;&gt;"",K54,I54)</f>
        <v>1.4793</v>
      </c>
      <c r="N54" s="2" t="str">
        <f aca="false">IF(K54="","n/a (no discount)",IF(ABS(I54-J54-K54)&lt;=0.0001,"OK","CHECK"))</f>
        <v>OK</v>
      </c>
      <c r="O54" s="3" t="n">
        <f aca="false">ROUND(M54*H54,2)</f>
        <v>278.61</v>
      </c>
      <c r="P54" s="5" t="n">
        <f aca="false">O54-L54</f>
        <v>-0.00999999999999091</v>
      </c>
      <c r="Q54" s="2" t="str">
        <f aca="false">IF(ABS(P54)&lt;=0.011,"OK","CHECK")</f>
        <v>OK</v>
      </c>
    </row>
    <row r="55" customFormat="false" ht="15" hidden="false" customHeight="false" outlineLevel="0" collapsed="false">
      <c r="A55" s="2" t="s">
        <v>98</v>
      </c>
      <c r="B55" s="2" t="s">
        <v>99</v>
      </c>
      <c r="C55" s="2" t="s">
        <v>107</v>
      </c>
      <c r="D55" s="2" t="n">
        <v>92561</v>
      </c>
      <c r="E55" s="2" t="s">
        <v>101</v>
      </c>
      <c r="F55" s="2" t="s">
        <v>31</v>
      </c>
      <c r="G55" s="2" t="s">
        <v>43</v>
      </c>
      <c r="H55" s="3" t="n">
        <v>49.72</v>
      </c>
      <c r="I55" s="4" t="n">
        <v>0.6</v>
      </c>
      <c r="J55" s="4" t="n">
        <v>0</v>
      </c>
      <c r="K55" s="4" t="n">
        <v>0.6</v>
      </c>
      <c r="L55" s="3" t="n">
        <v>29.84</v>
      </c>
      <c r="M55" s="4" t="n">
        <f aca="false">IF(K55&lt;&gt;"",K55,I55)</f>
        <v>0.6</v>
      </c>
      <c r="N55" s="2" t="str">
        <f aca="false">IF(K55="","n/a (no discount)",IF(ABS(I55-J55-K55)&lt;=0.0001,"OK","CHECK"))</f>
        <v>OK</v>
      </c>
      <c r="O55" s="3" t="n">
        <f aca="false">ROUND(M55*H55,2)</f>
        <v>29.83</v>
      </c>
      <c r="P55" s="5" t="n">
        <f aca="false">O55-L55</f>
        <v>-0.0100000000000016</v>
      </c>
      <c r="Q55" s="2" t="str">
        <f aca="false">IF(ABS(P55)&lt;=0.011,"OK","CHECK")</f>
        <v>OK</v>
      </c>
    </row>
    <row r="56" customFormat="false" ht="15" hidden="false" customHeight="false" outlineLevel="0" collapsed="false">
      <c r="A56" s="2" t="s">
        <v>98</v>
      </c>
      <c r="B56" s="2" t="s">
        <v>103</v>
      </c>
      <c r="C56" s="2" t="s">
        <v>108</v>
      </c>
      <c r="D56" s="2" t="n">
        <v>119895</v>
      </c>
      <c r="E56" s="2" t="s">
        <v>101</v>
      </c>
      <c r="F56" s="2" t="s">
        <v>31</v>
      </c>
      <c r="G56" s="2" t="s">
        <v>43</v>
      </c>
      <c r="H56" s="3" t="n">
        <v>55.8</v>
      </c>
      <c r="I56" s="4" t="n">
        <v>0.6</v>
      </c>
      <c r="J56" s="4" t="n">
        <v>0</v>
      </c>
      <c r="K56" s="4" t="n">
        <v>0.6</v>
      </c>
      <c r="L56" s="3" t="n">
        <v>33.48</v>
      </c>
      <c r="M56" s="4" t="n">
        <f aca="false">IF(K56&lt;&gt;"",K56,I56)</f>
        <v>0.6</v>
      </c>
      <c r="N56" s="2" t="str">
        <f aca="false">IF(K56="","n/a (no discount)",IF(ABS(I56-J56-K56)&lt;=0.0001,"OK","CHECK"))</f>
        <v>OK</v>
      </c>
      <c r="O56" s="3" t="n">
        <f aca="false">ROUND(M56*H56,2)</f>
        <v>33.48</v>
      </c>
      <c r="P56" s="5" t="n">
        <f aca="false">O56-L56</f>
        <v>0</v>
      </c>
      <c r="Q56" s="2" t="str">
        <f aca="false">IF(ABS(P56)&lt;=0.011,"OK","CHECK")</f>
        <v>OK</v>
      </c>
    </row>
    <row r="57" customFormat="false" ht="15" hidden="false" customHeight="false" outlineLevel="0" collapsed="false">
      <c r="A57" s="2" t="s">
        <v>109</v>
      </c>
      <c r="B57" s="2" t="s">
        <v>72</v>
      </c>
      <c r="C57" s="2" t="s">
        <v>110</v>
      </c>
      <c r="D57" s="2" t="n">
        <v>107866</v>
      </c>
      <c r="E57" s="2" t="s">
        <v>111</v>
      </c>
      <c r="F57" s="2" t="s">
        <v>21</v>
      </c>
      <c r="G57" s="2" t="s">
        <v>43</v>
      </c>
      <c r="H57" s="3" t="n">
        <v>360</v>
      </c>
      <c r="I57" s="4" t="n">
        <v>1.7694</v>
      </c>
      <c r="J57" s="4" t="n">
        <v>0.205</v>
      </c>
      <c r="K57" s="4" t="n">
        <v>1.5644</v>
      </c>
      <c r="L57" s="3" t="n">
        <v>563.19</v>
      </c>
      <c r="M57" s="4" t="n">
        <f aca="false">IF(K57&lt;&gt;"",K57,I57)</f>
        <v>1.5644</v>
      </c>
      <c r="N57" s="2" t="str">
        <f aca="false">IF(K57="","n/a (no discount)",IF(ABS(I57-J57-K57)&lt;=0.0001,"OK","CHECK"))</f>
        <v>OK</v>
      </c>
      <c r="O57" s="3" t="n">
        <f aca="false">ROUND(M57*H57,2)</f>
        <v>563.18</v>
      </c>
      <c r="P57" s="5" t="n">
        <f aca="false">O57-L57</f>
        <v>-0.0100000000001046</v>
      </c>
      <c r="Q57" s="2" t="str">
        <f aca="false">IF(ABS(P57)&lt;=0.011,"OK","CHECK")</f>
        <v>OK</v>
      </c>
    </row>
    <row r="58" customFormat="false" ht="15" hidden="false" customHeight="false" outlineLevel="0" collapsed="false">
      <c r="A58" s="2" t="s">
        <v>109</v>
      </c>
      <c r="B58" s="2" t="s">
        <v>72</v>
      </c>
      <c r="C58" s="2" t="s">
        <v>112</v>
      </c>
      <c r="D58" s="2" t="n">
        <v>107881</v>
      </c>
      <c r="E58" s="2" t="s">
        <v>111</v>
      </c>
      <c r="F58" s="2" t="s">
        <v>21</v>
      </c>
      <c r="G58" s="2" t="s">
        <v>43</v>
      </c>
      <c r="H58" s="3" t="n">
        <v>185</v>
      </c>
      <c r="I58" s="4" t="n">
        <v>1.7694</v>
      </c>
      <c r="J58" s="4" t="n">
        <v>0.205</v>
      </c>
      <c r="K58" s="4" t="n">
        <v>1.5644</v>
      </c>
      <c r="L58" s="3" t="n">
        <v>289.42</v>
      </c>
      <c r="M58" s="4" t="n">
        <f aca="false">IF(K58&lt;&gt;"",K58,I58)</f>
        <v>1.5644</v>
      </c>
      <c r="N58" s="2" t="str">
        <f aca="false">IF(K58="","n/a (no discount)",IF(ABS(I58-J58-K58)&lt;=0.0001,"OK","CHECK"))</f>
        <v>OK</v>
      </c>
      <c r="O58" s="3" t="n">
        <f aca="false">ROUND(M58*H58,2)</f>
        <v>289.41</v>
      </c>
      <c r="P58" s="5" t="n">
        <f aca="false">O58-L58</f>
        <v>-0.00999999999999091</v>
      </c>
      <c r="Q58" s="2" t="str">
        <f aca="false">IF(ABS(P58)&lt;=0.011,"OK","CHECK")</f>
        <v>OK</v>
      </c>
    </row>
    <row r="59" customFormat="false" ht="15" hidden="false" customHeight="false" outlineLevel="0" collapsed="false">
      <c r="A59" s="2" t="s">
        <v>109</v>
      </c>
      <c r="B59" s="2" t="s">
        <v>72</v>
      </c>
      <c r="C59" s="2" t="s">
        <v>113</v>
      </c>
      <c r="D59" s="2" t="n">
        <v>107893</v>
      </c>
      <c r="E59" s="2" t="s">
        <v>111</v>
      </c>
      <c r="F59" s="2" t="s">
        <v>21</v>
      </c>
      <c r="G59" s="2" t="s">
        <v>43</v>
      </c>
      <c r="H59" s="3" t="n">
        <v>51</v>
      </c>
      <c r="I59" s="4" t="n">
        <v>1.7694</v>
      </c>
      <c r="J59" s="4" t="n">
        <v>0.205</v>
      </c>
      <c r="K59" s="4" t="n">
        <v>1.5644</v>
      </c>
      <c r="L59" s="3" t="n">
        <v>79.79</v>
      </c>
      <c r="M59" s="4" t="n">
        <f aca="false">IF(K59&lt;&gt;"",K59,I59)</f>
        <v>1.5644</v>
      </c>
      <c r="N59" s="2" t="str">
        <f aca="false">IF(K59="","n/a (no discount)",IF(ABS(I59-J59-K59)&lt;=0.0001,"OK","CHECK"))</f>
        <v>OK</v>
      </c>
      <c r="O59" s="3" t="n">
        <f aca="false">ROUND(M59*H59,2)</f>
        <v>79.78</v>
      </c>
      <c r="P59" s="5" t="n">
        <f aca="false">O59-L59</f>
        <v>-0.0100000000000051</v>
      </c>
      <c r="Q59" s="2" t="str">
        <f aca="false">IF(ABS(P59)&lt;=0.011,"OK","CHECK")</f>
        <v>OK</v>
      </c>
    </row>
    <row r="60" customFormat="false" ht="15" hidden="false" customHeight="false" outlineLevel="0" collapsed="false">
      <c r="A60" s="2" t="s">
        <v>109</v>
      </c>
      <c r="B60" s="2" t="s">
        <v>72</v>
      </c>
      <c r="C60" s="2" t="s">
        <v>81</v>
      </c>
      <c r="D60" s="2" t="n">
        <v>107906</v>
      </c>
      <c r="E60" s="2" t="s">
        <v>111</v>
      </c>
      <c r="F60" s="2" t="s">
        <v>31</v>
      </c>
      <c r="G60" s="2" t="s">
        <v>43</v>
      </c>
      <c r="H60" s="3" t="n">
        <v>33.89</v>
      </c>
      <c r="I60" s="4" t="n">
        <v>0.6</v>
      </c>
      <c r="J60" s="4" t="n">
        <v>0</v>
      </c>
      <c r="K60" s="4" t="n">
        <v>0.6</v>
      </c>
      <c r="L60" s="3" t="n">
        <v>20.34</v>
      </c>
      <c r="M60" s="4" t="n">
        <f aca="false">IF(K60&lt;&gt;"",K60,I60)</f>
        <v>0.6</v>
      </c>
      <c r="N60" s="2" t="str">
        <f aca="false">IF(K60="","n/a (no discount)",IF(ABS(I60-J60-K60)&lt;=0.0001,"OK","CHECK"))</f>
        <v>OK</v>
      </c>
      <c r="O60" s="3" t="n">
        <f aca="false">ROUND(M60*H60,2)</f>
        <v>20.33</v>
      </c>
      <c r="P60" s="5" t="n">
        <f aca="false">O60-L60</f>
        <v>-0.0100000000000016</v>
      </c>
      <c r="Q60" s="2" t="str">
        <f aca="false">IF(ABS(P60)&lt;=0.011,"OK","CHECK")</f>
        <v>OK</v>
      </c>
    </row>
    <row r="61" customFormat="false" ht="15" hidden="false" customHeight="false" outlineLevel="0" collapsed="false">
      <c r="A61" s="2" t="s">
        <v>114</v>
      </c>
      <c r="B61" s="2" t="s">
        <v>65</v>
      </c>
      <c r="C61" s="2" t="s">
        <v>115</v>
      </c>
      <c r="D61" s="2" t="n">
        <v>101833</v>
      </c>
      <c r="E61" s="2" t="s">
        <v>116</v>
      </c>
      <c r="F61" s="2" t="s">
        <v>21</v>
      </c>
      <c r="G61" s="2" t="s">
        <v>43</v>
      </c>
      <c r="H61" s="3" t="n">
        <v>34.65</v>
      </c>
      <c r="I61" s="4" t="n">
        <v>1.7694</v>
      </c>
      <c r="J61" s="4" t="n">
        <v>0.205</v>
      </c>
      <c r="K61" s="4" t="n">
        <v>1.5644</v>
      </c>
      <c r="L61" s="3" t="n">
        <v>54.21</v>
      </c>
      <c r="M61" s="4" t="n">
        <f aca="false">IF(K61&lt;&gt;"",K61,I61)</f>
        <v>1.5644</v>
      </c>
      <c r="N61" s="2" t="str">
        <f aca="false">IF(K61="","n/a (no discount)",IF(ABS(I61-J61-K61)&lt;=0.0001,"OK","CHECK"))</f>
        <v>OK</v>
      </c>
      <c r="O61" s="3" t="n">
        <f aca="false">ROUND(M61*H61,2)</f>
        <v>54.21</v>
      </c>
      <c r="P61" s="5" t="n">
        <f aca="false">O61-L61</f>
        <v>0</v>
      </c>
      <c r="Q61" s="2" t="str">
        <f aca="false">IF(ABS(P61)&lt;=0.011,"OK","CHECK")</f>
        <v>OK</v>
      </c>
    </row>
    <row r="62" customFormat="false" ht="15" hidden="false" customHeight="false" outlineLevel="0" collapsed="false">
      <c r="A62" s="2" t="s">
        <v>117</v>
      </c>
      <c r="B62" s="2" t="s">
        <v>103</v>
      </c>
      <c r="C62" s="2" t="s">
        <v>118</v>
      </c>
      <c r="D62" s="2" t="n">
        <v>253016</v>
      </c>
      <c r="E62" s="2" t="s">
        <v>119</v>
      </c>
      <c r="F62" s="2" t="s">
        <v>21</v>
      </c>
      <c r="G62" s="2" t="s">
        <v>120</v>
      </c>
      <c r="H62" s="3" t="n">
        <v>205.01</v>
      </c>
      <c r="I62" s="4" t="n">
        <v>1.5093</v>
      </c>
      <c r="J62" s="4"/>
      <c r="K62" s="4"/>
      <c r="L62" s="3" t="n">
        <v>309.43</v>
      </c>
      <c r="M62" s="4" t="n">
        <f aca="false">IF(K62&lt;&gt;"",K62,I62)</f>
        <v>1.5093</v>
      </c>
      <c r="N62" s="2" t="str">
        <f aca="false">IF(K62="","n/a (no discount)",IF(ABS(I62-J62-K62)&lt;=0.0001,"OK","CHECK"))</f>
        <v>n/a (no discount)</v>
      </c>
      <c r="O62" s="3" t="n">
        <f aca="false">ROUND(M62*H62,2)</f>
        <v>309.42</v>
      </c>
      <c r="P62" s="5" t="n">
        <f aca="false">O62-L62</f>
        <v>-0.00999999999999091</v>
      </c>
      <c r="Q62" s="2" t="str">
        <f aca="false">IF(ABS(P62)&lt;=0.011,"OK","CHECK")</f>
        <v>OK</v>
      </c>
    </row>
    <row r="63" customFormat="false" ht="15" hidden="false" customHeight="false" outlineLevel="0" collapsed="false">
      <c r="A63" s="2" t="s">
        <v>117</v>
      </c>
      <c r="B63" s="2" t="s">
        <v>103</v>
      </c>
      <c r="C63" s="2" t="s">
        <v>121</v>
      </c>
      <c r="D63" s="2" t="n">
        <v>253025</v>
      </c>
      <c r="E63" s="2" t="s">
        <v>119</v>
      </c>
      <c r="F63" s="2" t="s">
        <v>21</v>
      </c>
      <c r="G63" s="2" t="s">
        <v>120</v>
      </c>
      <c r="H63" s="3" t="n">
        <v>430</v>
      </c>
      <c r="I63" s="4" t="n">
        <v>1.5093</v>
      </c>
      <c r="J63" s="4"/>
      <c r="K63" s="4"/>
      <c r="L63" s="3" t="n">
        <v>649</v>
      </c>
      <c r="M63" s="4" t="n">
        <f aca="false">IF(K63&lt;&gt;"",K63,I63)</f>
        <v>1.5093</v>
      </c>
      <c r="N63" s="2" t="str">
        <f aca="false">IF(K63="","n/a (no discount)",IF(ABS(I63-J63-K63)&lt;=0.0001,"OK","CHECK"))</f>
        <v>n/a (no discount)</v>
      </c>
      <c r="O63" s="3" t="n">
        <f aca="false">ROUND(M63*H63,2)</f>
        <v>649</v>
      </c>
      <c r="P63" s="5" t="n">
        <f aca="false">O63-L63</f>
        <v>0</v>
      </c>
      <c r="Q63" s="2" t="str">
        <f aca="false">IF(ABS(P63)&lt;=0.011,"OK","CHECK")</f>
        <v>OK</v>
      </c>
    </row>
    <row r="64" customFormat="false" ht="15" hidden="false" customHeight="false" outlineLevel="0" collapsed="false">
      <c r="A64" s="2" t="s">
        <v>117</v>
      </c>
      <c r="B64" s="2" t="s">
        <v>103</v>
      </c>
      <c r="C64" s="2" t="s">
        <v>122</v>
      </c>
      <c r="D64" s="2" t="n">
        <v>253033</v>
      </c>
      <c r="E64" s="2" t="s">
        <v>119</v>
      </c>
      <c r="F64" s="2" t="s">
        <v>31</v>
      </c>
      <c r="G64" s="2" t="s">
        <v>120</v>
      </c>
      <c r="H64" s="3" t="n">
        <v>44</v>
      </c>
      <c r="I64" s="4" t="n">
        <v>0.675</v>
      </c>
      <c r="J64" s="4"/>
      <c r="K64" s="4"/>
      <c r="L64" s="3" t="n">
        <v>29.7</v>
      </c>
      <c r="M64" s="4" t="n">
        <f aca="false">IF(K64&lt;&gt;"",K64,I64)</f>
        <v>0.675</v>
      </c>
      <c r="N64" s="2" t="str">
        <f aca="false">IF(K64="","n/a (no discount)",IF(ABS(I64-J64-K64)&lt;=0.0001,"OK","CHECK"))</f>
        <v>n/a (no discount)</v>
      </c>
      <c r="O64" s="3" t="n">
        <f aca="false">ROUND(M64*H64,2)</f>
        <v>29.7</v>
      </c>
      <c r="P64" s="5" t="n">
        <f aca="false">O64-L64</f>
        <v>0</v>
      </c>
      <c r="Q64" s="2" t="str">
        <f aca="false">IF(ABS(P64)&lt;=0.011,"OK","CHECK")</f>
        <v>OK</v>
      </c>
    </row>
    <row r="65" customFormat="false" ht="15" hidden="false" customHeight="false" outlineLevel="0" collapsed="false">
      <c r="A65" s="2" t="s">
        <v>123</v>
      </c>
      <c r="B65" s="2" t="s">
        <v>103</v>
      </c>
      <c r="C65" s="2" t="s">
        <v>124</v>
      </c>
      <c r="D65" s="2" t="n">
        <v>119469</v>
      </c>
      <c r="E65" s="2" t="s">
        <v>125</v>
      </c>
      <c r="F65" s="2" t="s">
        <v>21</v>
      </c>
      <c r="G65" s="2" t="s">
        <v>43</v>
      </c>
      <c r="H65" s="3" t="n">
        <v>590</v>
      </c>
      <c r="I65" s="4" t="n">
        <v>1.6843</v>
      </c>
      <c r="J65" s="4" t="n">
        <v>0.205</v>
      </c>
      <c r="K65" s="4" t="n">
        <v>1.4793</v>
      </c>
      <c r="L65" s="3" t="n">
        <v>872.79</v>
      </c>
      <c r="M65" s="4" t="n">
        <f aca="false">IF(K65&lt;&gt;"",K65,I65)</f>
        <v>1.4793</v>
      </c>
      <c r="N65" s="2" t="str">
        <f aca="false">IF(K65="","n/a (no discount)",IF(ABS(I65-J65-K65)&lt;=0.0001,"OK","CHECK"))</f>
        <v>OK</v>
      </c>
      <c r="O65" s="3" t="n">
        <f aca="false">ROUND(M65*H65,2)</f>
        <v>872.79</v>
      </c>
      <c r="P65" s="5" t="n">
        <f aca="false">O65-L65</f>
        <v>0</v>
      </c>
      <c r="Q65" s="2" t="str">
        <f aca="false">IF(ABS(P65)&lt;=0.011,"OK","CHECK")</f>
        <v>OK</v>
      </c>
    </row>
    <row r="66" customFormat="false" ht="15" hidden="false" customHeight="false" outlineLevel="0" collapsed="false">
      <c r="A66" s="2" t="s">
        <v>123</v>
      </c>
      <c r="B66" s="2" t="s">
        <v>103</v>
      </c>
      <c r="C66" s="2" t="s">
        <v>126</v>
      </c>
      <c r="D66" s="2" t="n">
        <v>119491</v>
      </c>
      <c r="E66" s="2" t="s">
        <v>125</v>
      </c>
      <c r="F66" s="2" t="s">
        <v>21</v>
      </c>
      <c r="G66" s="2" t="s">
        <v>43</v>
      </c>
      <c r="H66" s="3" t="n">
        <v>315.01</v>
      </c>
      <c r="I66" s="4" t="n">
        <v>1.6843</v>
      </c>
      <c r="J66" s="4" t="n">
        <v>0.205</v>
      </c>
      <c r="K66" s="4" t="n">
        <v>1.4793</v>
      </c>
      <c r="L66" s="3" t="n">
        <v>466</v>
      </c>
      <c r="M66" s="4" t="n">
        <f aca="false">IF(K66&lt;&gt;"",K66,I66)</f>
        <v>1.4793</v>
      </c>
      <c r="N66" s="2" t="str">
        <f aca="false">IF(K66="","n/a (no discount)",IF(ABS(I66-J66-K66)&lt;=0.0001,"OK","CHECK"))</f>
        <v>OK</v>
      </c>
      <c r="O66" s="3" t="n">
        <f aca="false">ROUND(M66*H66,2)</f>
        <v>465.99</v>
      </c>
      <c r="P66" s="5" t="n">
        <f aca="false">O66-L66</f>
        <v>-0.00999999999999091</v>
      </c>
      <c r="Q66" s="2" t="str">
        <f aca="false">IF(ABS(P66)&lt;=0.011,"OK","CHECK")</f>
        <v>OK</v>
      </c>
    </row>
    <row r="67" customFormat="false" ht="15" hidden="false" customHeight="false" outlineLevel="0" collapsed="false">
      <c r="A67" s="2" t="s">
        <v>123</v>
      </c>
      <c r="B67" s="2" t="s">
        <v>103</v>
      </c>
      <c r="C67" s="2" t="s">
        <v>127</v>
      </c>
      <c r="D67" s="2" t="n">
        <v>119511</v>
      </c>
      <c r="E67" s="2" t="s">
        <v>125</v>
      </c>
      <c r="F67" s="2" t="s">
        <v>21</v>
      </c>
      <c r="G67" s="2" t="s">
        <v>43</v>
      </c>
      <c r="H67" s="3" t="n">
        <v>118.01</v>
      </c>
      <c r="I67" s="4" t="n">
        <v>1.6843</v>
      </c>
      <c r="J67" s="4" t="n">
        <v>0.205</v>
      </c>
      <c r="K67" s="4" t="n">
        <v>1.4793</v>
      </c>
      <c r="L67" s="3" t="n">
        <v>174.58</v>
      </c>
      <c r="M67" s="4" t="n">
        <f aca="false">IF(K67&lt;&gt;"",K67,I67)</f>
        <v>1.4793</v>
      </c>
      <c r="N67" s="2" t="str">
        <f aca="false">IF(K67="","n/a (no discount)",IF(ABS(I67-J67-K67)&lt;=0.0001,"OK","CHECK"))</f>
        <v>OK</v>
      </c>
      <c r="O67" s="3" t="n">
        <f aca="false">ROUND(M67*H67,2)</f>
        <v>174.57</v>
      </c>
      <c r="P67" s="5" t="n">
        <f aca="false">O67-L67</f>
        <v>-0.0100000000000193</v>
      </c>
      <c r="Q67" s="2" t="str">
        <f aca="false">IF(ABS(P67)&lt;=0.011,"OK","CHECK")</f>
        <v>OK</v>
      </c>
    </row>
    <row r="68" customFormat="false" ht="15" hidden="false" customHeight="false" outlineLevel="0" collapsed="false">
      <c r="A68" s="2" t="s">
        <v>123</v>
      </c>
      <c r="B68" s="2" t="s">
        <v>103</v>
      </c>
      <c r="C68" s="2" t="s">
        <v>128</v>
      </c>
      <c r="D68" s="2" t="n">
        <v>119528</v>
      </c>
      <c r="E68" s="2" t="s">
        <v>125</v>
      </c>
      <c r="F68" s="2" t="s">
        <v>31</v>
      </c>
      <c r="G68" s="2" t="s">
        <v>43</v>
      </c>
      <c r="H68" s="3" t="n">
        <v>78.08</v>
      </c>
      <c r="I68" s="4" t="n">
        <v>0.6</v>
      </c>
      <c r="J68" s="4" t="n">
        <v>0</v>
      </c>
      <c r="K68" s="4" t="n">
        <v>0.6</v>
      </c>
      <c r="L68" s="3" t="n">
        <v>46.85</v>
      </c>
      <c r="M68" s="4" t="n">
        <f aca="false">IF(K68&lt;&gt;"",K68,I68)</f>
        <v>0.6</v>
      </c>
      <c r="N68" s="2" t="str">
        <f aca="false">IF(K68="","n/a (no discount)",IF(ABS(I68-J68-K68)&lt;=0.0001,"OK","CHECK"))</f>
        <v>OK</v>
      </c>
      <c r="O68" s="3" t="n">
        <f aca="false">ROUND(M68*H68,2)</f>
        <v>46.85</v>
      </c>
      <c r="P68" s="5" t="n">
        <f aca="false">O68-L68</f>
        <v>0</v>
      </c>
      <c r="Q68" s="2" t="str">
        <f aca="false">IF(ABS(P68)&lt;=0.011,"OK","CHECK")</f>
        <v>OK</v>
      </c>
    </row>
    <row r="69" customFormat="false" ht="15" hidden="false" customHeight="false" outlineLevel="0" collapsed="false">
      <c r="A69" s="2" t="s">
        <v>129</v>
      </c>
      <c r="B69" s="2" t="s">
        <v>25</v>
      </c>
      <c r="C69" s="2" t="s">
        <v>130</v>
      </c>
      <c r="D69" s="2" t="n">
        <v>117693</v>
      </c>
      <c r="E69" s="2" t="s">
        <v>131</v>
      </c>
      <c r="F69" s="2" t="s">
        <v>21</v>
      </c>
      <c r="G69" s="2" t="s">
        <v>27</v>
      </c>
      <c r="H69" s="3" t="n">
        <v>528.26</v>
      </c>
      <c r="I69" s="4" t="n">
        <v>1.6843</v>
      </c>
      <c r="J69" s="4" t="n">
        <v>0.205</v>
      </c>
      <c r="K69" s="4" t="n">
        <v>1.4793</v>
      </c>
      <c r="L69" s="3" t="n">
        <v>781.46</v>
      </c>
      <c r="M69" s="4" t="n">
        <f aca="false">IF(K69&lt;&gt;"",K69,I69)</f>
        <v>1.4793</v>
      </c>
      <c r="N69" s="2" t="str">
        <f aca="false">IF(K69="","n/a (no discount)",IF(ABS(I69-J69-K69)&lt;=0.0001,"OK","CHECK"))</f>
        <v>OK</v>
      </c>
      <c r="O69" s="3" t="n">
        <f aca="false">ROUND(M69*H69,2)</f>
        <v>781.46</v>
      </c>
      <c r="P69" s="5" t="n">
        <f aca="false">O69-L69</f>
        <v>0</v>
      </c>
      <c r="Q69" s="2" t="str">
        <f aca="false">IF(ABS(P69)&lt;=0.011,"OK","CHECK")</f>
        <v>OK</v>
      </c>
    </row>
    <row r="70" customFormat="false" ht="15" hidden="false" customHeight="false" outlineLevel="0" collapsed="false">
      <c r="A70" s="2" t="s">
        <v>129</v>
      </c>
      <c r="B70" s="2" t="s">
        <v>25</v>
      </c>
      <c r="C70" s="2" t="s">
        <v>132</v>
      </c>
      <c r="D70" s="2" t="n">
        <v>117730</v>
      </c>
      <c r="E70" s="2" t="s">
        <v>131</v>
      </c>
      <c r="F70" s="2" t="s">
        <v>21</v>
      </c>
      <c r="G70" s="2" t="s">
        <v>27</v>
      </c>
      <c r="H70" s="3" t="n">
        <v>268.39</v>
      </c>
      <c r="I70" s="4" t="n">
        <v>1.6843</v>
      </c>
      <c r="J70" s="4" t="n">
        <v>0.205</v>
      </c>
      <c r="K70" s="4" t="n">
        <v>1.4793</v>
      </c>
      <c r="L70" s="3" t="n">
        <v>397.03</v>
      </c>
      <c r="M70" s="4" t="n">
        <f aca="false">IF(K70&lt;&gt;"",K70,I70)</f>
        <v>1.4793</v>
      </c>
      <c r="N70" s="2" t="str">
        <f aca="false">IF(K70="","n/a (no discount)",IF(ABS(I70-J70-K70)&lt;=0.0001,"OK","CHECK"))</f>
        <v>OK</v>
      </c>
      <c r="O70" s="3" t="n">
        <f aca="false">ROUND(M70*H70,2)</f>
        <v>397.03</v>
      </c>
      <c r="P70" s="5" t="n">
        <f aca="false">O70-L70</f>
        <v>0</v>
      </c>
      <c r="Q70" s="2" t="str">
        <f aca="false">IF(ABS(P70)&lt;=0.011,"OK","CHECK")</f>
        <v>OK</v>
      </c>
    </row>
    <row r="71" customFormat="false" ht="15" hidden="false" customHeight="false" outlineLevel="0" collapsed="false">
      <c r="A71" s="2" t="s">
        <v>129</v>
      </c>
      <c r="B71" s="2" t="s">
        <v>25</v>
      </c>
      <c r="C71" s="2" t="s">
        <v>133</v>
      </c>
      <c r="D71" s="2" t="n">
        <v>117745</v>
      </c>
      <c r="E71" s="2" t="s">
        <v>131</v>
      </c>
      <c r="F71" s="2" t="s">
        <v>21</v>
      </c>
      <c r="G71" s="2" t="s">
        <v>27</v>
      </c>
      <c r="H71" s="3" t="n">
        <v>52.45</v>
      </c>
      <c r="I71" s="4" t="n">
        <v>1.6843</v>
      </c>
      <c r="J71" s="4" t="n">
        <v>0.205</v>
      </c>
      <c r="K71" s="4" t="n">
        <v>1.4793</v>
      </c>
      <c r="L71" s="3" t="n">
        <v>77.59</v>
      </c>
      <c r="M71" s="4" t="n">
        <f aca="false">IF(K71&lt;&gt;"",K71,I71)</f>
        <v>1.4793</v>
      </c>
      <c r="N71" s="2" t="str">
        <f aca="false">IF(K71="","n/a (no discount)",IF(ABS(I71-J71-K71)&lt;=0.0001,"OK","CHECK"))</f>
        <v>OK</v>
      </c>
      <c r="O71" s="3" t="n">
        <f aca="false">ROUND(M71*H71,2)</f>
        <v>77.59</v>
      </c>
      <c r="P71" s="5" t="n">
        <f aca="false">O71-L71</f>
        <v>0</v>
      </c>
      <c r="Q71" s="2" t="str">
        <f aca="false">IF(ABS(P71)&lt;=0.011,"OK","CHECK")</f>
        <v>OK</v>
      </c>
    </row>
    <row r="72" customFormat="false" ht="15" hidden="false" customHeight="false" outlineLevel="0" collapsed="false">
      <c r="A72" s="2" t="s">
        <v>129</v>
      </c>
      <c r="B72" s="2" t="s">
        <v>25</v>
      </c>
      <c r="C72" s="2" t="s">
        <v>134</v>
      </c>
      <c r="D72" s="2" t="n">
        <v>117753</v>
      </c>
      <c r="E72" s="2" t="s">
        <v>131</v>
      </c>
      <c r="F72" s="2" t="s">
        <v>21</v>
      </c>
      <c r="G72" s="2" t="s">
        <v>27</v>
      </c>
      <c r="H72" s="3" t="n">
        <v>3.88</v>
      </c>
      <c r="I72" s="4" t="n">
        <v>1.6843</v>
      </c>
      <c r="J72" s="4" t="n">
        <v>0.205</v>
      </c>
      <c r="K72" s="4" t="n">
        <v>1.4793</v>
      </c>
      <c r="L72" s="3" t="n">
        <v>5.74</v>
      </c>
      <c r="M72" s="4" t="n">
        <f aca="false">IF(K72&lt;&gt;"",K72,I72)</f>
        <v>1.4793</v>
      </c>
      <c r="N72" s="2" t="str">
        <f aca="false">IF(K72="","n/a (no discount)",IF(ABS(I72-J72-K72)&lt;=0.0001,"OK","CHECK"))</f>
        <v>OK</v>
      </c>
      <c r="O72" s="3" t="n">
        <f aca="false">ROUND(M72*H72,2)</f>
        <v>5.74</v>
      </c>
      <c r="P72" s="5" t="n">
        <f aca="false">O72-L72</f>
        <v>0</v>
      </c>
      <c r="Q72" s="2" t="str">
        <f aca="false">IF(ABS(P72)&lt;=0.011,"OK","CHECK")</f>
        <v>OK</v>
      </c>
    </row>
    <row r="73" customFormat="false" ht="15" hidden="false" customHeight="false" outlineLevel="0" collapsed="false">
      <c r="A73" s="2" t="s">
        <v>129</v>
      </c>
      <c r="B73" s="2" t="s">
        <v>25</v>
      </c>
      <c r="C73" s="2" t="s">
        <v>135</v>
      </c>
      <c r="D73" s="2" t="n">
        <v>117715</v>
      </c>
      <c r="E73" s="2" t="s">
        <v>131</v>
      </c>
      <c r="F73" s="2" t="s">
        <v>31</v>
      </c>
      <c r="G73" s="2" t="s">
        <v>27</v>
      </c>
      <c r="H73" s="3" t="n">
        <v>76.21</v>
      </c>
      <c r="I73" s="4" t="n">
        <v>0.6</v>
      </c>
      <c r="J73" s="4" t="n">
        <v>0</v>
      </c>
      <c r="K73" s="4" t="n">
        <v>0.6</v>
      </c>
      <c r="L73" s="3" t="n">
        <v>45.73</v>
      </c>
      <c r="M73" s="4" t="n">
        <f aca="false">IF(K73&lt;&gt;"",K73,I73)</f>
        <v>0.6</v>
      </c>
      <c r="N73" s="2" t="str">
        <f aca="false">IF(K73="","n/a (no discount)",IF(ABS(I73-J73-K73)&lt;=0.0001,"OK","CHECK"))</f>
        <v>OK</v>
      </c>
      <c r="O73" s="3" t="n">
        <f aca="false">ROUND(M73*H73,2)</f>
        <v>45.73</v>
      </c>
      <c r="P73" s="5" t="n">
        <f aca="false">O73-L73</f>
        <v>0</v>
      </c>
      <c r="Q73" s="2" t="str">
        <f aca="false">IF(ABS(P73)&lt;=0.011,"OK","CHECK")</f>
        <v>OK</v>
      </c>
    </row>
    <row r="74" customFormat="false" ht="15" hidden="false" customHeight="false" outlineLevel="0" collapsed="false">
      <c r="A74" s="2" t="s">
        <v>136</v>
      </c>
      <c r="B74" s="2" t="s">
        <v>34</v>
      </c>
      <c r="C74" s="2" t="s">
        <v>137</v>
      </c>
      <c r="D74" s="2" t="n">
        <v>227217</v>
      </c>
      <c r="E74" s="2" t="s">
        <v>138</v>
      </c>
      <c r="F74" s="2" t="s">
        <v>21</v>
      </c>
      <c r="G74" s="2" t="s">
        <v>61</v>
      </c>
      <c r="H74" s="3" t="n">
        <v>625.67</v>
      </c>
      <c r="I74" s="4" t="n">
        <v>1.7488</v>
      </c>
      <c r="J74" s="4" t="n">
        <v>0.19</v>
      </c>
      <c r="K74" s="4" t="n">
        <v>1.5588</v>
      </c>
      <c r="L74" s="3" t="n">
        <v>975.3</v>
      </c>
      <c r="M74" s="4" t="n">
        <f aca="false">IF(K74&lt;&gt;"",K74,I74)</f>
        <v>1.5588</v>
      </c>
      <c r="N74" s="2" t="str">
        <f aca="false">IF(K74="","n/a (no discount)",IF(ABS(I74-J74-K74)&lt;=0.0001,"OK","CHECK"))</f>
        <v>OK</v>
      </c>
      <c r="O74" s="3" t="n">
        <f aca="false">ROUND(M74*H74,2)</f>
        <v>975.29</v>
      </c>
      <c r="P74" s="5" t="n">
        <f aca="false">O74-L74</f>
        <v>-0.00999999999999091</v>
      </c>
      <c r="Q74" s="2" t="str">
        <f aca="false">IF(ABS(P74)&lt;=0.011,"OK","CHECK")</f>
        <v>OK</v>
      </c>
    </row>
    <row r="75" customFormat="false" ht="15" hidden="false" customHeight="false" outlineLevel="0" collapsed="false">
      <c r="A75" s="2" t="s">
        <v>136</v>
      </c>
      <c r="B75" s="2" t="s">
        <v>34</v>
      </c>
      <c r="C75" s="2" t="s">
        <v>139</v>
      </c>
      <c r="D75" s="2" t="n">
        <v>227241</v>
      </c>
      <c r="E75" s="2" t="s">
        <v>138</v>
      </c>
      <c r="F75" s="2" t="s">
        <v>21</v>
      </c>
      <c r="G75" s="2" t="s">
        <v>61</v>
      </c>
      <c r="H75" s="3" t="n">
        <v>323.08</v>
      </c>
      <c r="I75" s="4" t="n">
        <v>1.7488</v>
      </c>
      <c r="J75" s="4" t="n">
        <v>0.19</v>
      </c>
      <c r="K75" s="4" t="n">
        <v>1.5588</v>
      </c>
      <c r="L75" s="3" t="n">
        <v>503.62</v>
      </c>
      <c r="M75" s="4" t="n">
        <f aca="false">IF(K75&lt;&gt;"",K75,I75)</f>
        <v>1.5588</v>
      </c>
      <c r="N75" s="2" t="str">
        <f aca="false">IF(K75="","n/a (no discount)",IF(ABS(I75-J75-K75)&lt;=0.0001,"OK","CHECK"))</f>
        <v>OK</v>
      </c>
      <c r="O75" s="3" t="n">
        <f aca="false">ROUND(M75*H75,2)</f>
        <v>503.62</v>
      </c>
      <c r="P75" s="5" t="n">
        <f aca="false">O75-L75</f>
        <v>0</v>
      </c>
      <c r="Q75" s="2" t="str">
        <f aca="false">IF(ABS(P75)&lt;=0.011,"OK","CHECK")</f>
        <v>OK</v>
      </c>
    </row>
    <row r="76" customFormat="false" ht="15" hidden="false" customHeight="false" outlineLevel="0" collapsed="false">
      <c r="A76" s="2" t="s">
        <v>136</v>
      </c>
      <c r="B76" s="2" t="s">
        <v>34</v>
      </c>
      <c r="C76" s="2" t="s">
        <v>140</v>
      </c>
      <c r="D76" s="2" t="n">
        <v>227252</v>
      </c>
      <c r="E76" s="2" t="s">
        <v>138</v>
      </c>
      <c r="F76" s="2" t="s">
        <v>21</v>
      </c>
      <c r="G76" s="2" t="s">
        <v>61</v>
      </c>
      <c r="H76" s="3" t="n">
        <v>201</v>
      </c>
      <c r="I76" s="4" t="n">
        <v>1.7488</v>
      </c>
      <c r="J76" s="4" t="n">
        <v>0.19</v>
      </c>
      <c r="K76" s="4" t="n">
        <v>1.5588</v>
      </c>
      <c r="L76" s="3" t="n">
        <v>313.32</v>
      </c>
      <c r="M76" s="4" t="n">
        <f aca="false">IF(K76&lt;&gt;"",K76,I76)</f>
        <v>1.5588</v>
      </c>
      <c r="N76" s="2" t="str">
        <f aca="false">IF(K76="","n/a (no discount)",IF(ABS(I76-J76-K76)&lt;=0.0001,"OK","CHECK"))</f>
        <v>OK</v>
      </c>
      <c r="O76" s="3" t="n">
        <f aca="false">ROUND(M76*H76,2)</f>
        <v>313.32</v>
      </c>
      <c r="P76" s="5" t="n">
        <f aca="false">O76-L76</f>
        <v>0</v>
      </c>
      <c r="Q76" s="2" t="str">
        <f aca="false">IF(ABS(P76)&lt;=0.011,"OK","CHECK")</f>
        <v>OK</v>
      </c>
    </row>
    <row r="77" customFormat="false" ht="15" hidden="false" customHeight="false" outlineLevel="0" collapsed="false">
      <c r="A77" s="2" t="s">
        <v>136</v>
      </c>
      <c r="B77" s="2" t="s">
        <v>18</v>
      </c>
      <c r="C77" s="2" t="s">
        <v>141</v>
      </c>
      <c r="D77" s="2" t="n">
        <v>246639</v>
      </c>
      <c r="E77" s="2" t="s">
        <v>138</v>
      </c>
      <c r="F77" s="2" t="s">
        <v>21</v>
      </c>
      <c r="G77" s="2" t="s">
        <v>61</v>
      </c>
      <c r="H77" s="3" t="n">
        <v>403.72</v>
      </c>
      <c r="I77" s="4" t="n">
        <v>1.7694</v>
      </c>
      <c r="J77" s="4" t="n">
        <v>0.19</v>
      </c>
      <c r="K77" s="4" t="n">
        <v>1.5794</v>
      </c>
      <c r="L77" s="3" t="n">
        <v>637.64</v>
      </c>
      <c r="M77" s="4" t="n">
        <f aca="false">IF(K77&lt;&gt;"",K77,I77)</f>
        <v>1.5794</v>
      </c>
      <c r="N77" s="2" t="str">
        <f aca="false">IF(K77="","n/a (no discount)",IF(ABS(I77-J77-K77)&lt;=0.0001,"OK","CHECK"))</f>
        <v>OK</v>
      </c>
      <c r="O77" s="3" t="n">
        <f aca="false">ROUND(M77*H77,2)</f>
        <v>637.64</v>
      </c>
      <c r="P77" s="5" t="n">
        <f aca="false">O77-L77</f>
        <v>0</v>
      </c>
      <c r="Q77" s="2" t="str">
        <f aca="false">IF(ABS(P77)&lt;=0.011,"OK","CHECK")</f>
        <v>OK</v>
      </c>
    </row>
    <row r="78" customFormat="false" ht="15" hidden="false" customHeight="false" outlineLevel="0" collapsed="false">
      <c r="A78" s="2" t="s">
        <v>136</v>
      </c>
      <c r="B78" s="2" t="s">
        <v>18</v>
      </c>
      <c r="C78" s="2" t="s">
        <v>142</v>
      </c>
      <c r="D78" s="2" t="n">
        <v>246656</v>
      </c>
      <c r="E78" s="2" t="s">
        <v>138</v>
      </c>
      <c r="F78" s="2" t="s">
        <v>21</v>
      </c>
      <c r="G78" s="2" t="s">
        <v>61</v>
      </c>
      <c r="H78" s="3" t="n">
        <v>217.4</v>
      </c>
      <c r="I78" s="4" t="n">
        <v>1.7694</v>
      </c>
      <c r="J78" s="4" t="n">
        <v>0.19</v>
      </c>
      <c r="K78" s="4" t="n">
        <v>1.5794</v>
      </c>
      <c r="L78" s="3" t="n">
        <v>343.37</v>
      </c>
      <c r="M78" s="4" t="n">
        <f aca="false">IF(K78&lt;&gt;"",K78,I78)</f>
        <v>1.5794</v>
      </c>
      <c r="N78" s="2" t="str">
        <f aca="false">IF(K78="","n/a (no discount)",IF(ABS(I78-J78-K78)&lt;=0.0001,"OK","CHECK"))</f>
        <v>OK</v>
      </c>
      <c r="O78" s="3" t="n">
        <f aca="false">ROUND(M78*H78,2)</f>
        <v>343.36</v>
      </c>
      <c r="P78" s="5" t="n">
        <f aca="false">O78-L78</f>
        <v>-0.00999999999999091</v>
      </c>
      <c r="Q78" s="2" t="str">
        <f aca="false">IF(ABS(P78)&lt;=0.011,"OK","CHECK")</f>
        <v>OK</v>
      </c>
    </row>
    <row r="79" customFormat="false" ht="15" hidden="false" customHeight="false" outlineLevel="0" collapsed="false">
      <c r="A79" s="2" t="s">
        <v>136</v>
      </c>
      <c r="B79" s="2" t="s">
        <v>18</v>
      </c>
      <c r="C79" s="2" t="s">
        <v>143</v>
      </c>
      <c r="D79" s="2" t="n">
        <v>246671</v>
      </c>
      <c r="E79" s="2" t="s">
        <v>138</v>
      </c>
      <c r="F79" s="2" t="s">
        <v>21</v>
      </c>
      <c r="G79" s="2" t="s">
        <v>61</v>
      </c>
      <c r="H79" s="3" t="n">
        <v>119.23</v>
      </c>
      <c r="I79" s="4" t="n">
        <v>1.7694</v>
      </c>
      <c r="J79" s="4" t="n">
        <v>0.19</v>
      </c>
      <c r="K79" s="4" t="n">
        <v>1.5794</v>
      </c>
      <c r="L79" s="3" t="n">
        <v>188.32</v>
      </c>
      <c r="M79" s="4" t="n">
        <f aca="false">IF(K79&lt;&gt;"",K79,I79)</f>
        <v>1.5794</v>
      </c>
      <c r="N79" s="2" t="str">
        <f aca="false">IF(K79="","n/a (no discount)",IF(ABS(I79-J79-K79)&lt;=0.0001,"OK","CHECK"))</f>
        <v>OK</v>
      </c>
      <c r="O79" s="3" t="n">
        <f aca="false">ROUND(M79*H79,2)</f>
        <v>188.31</v>
      </c>
      <c r="P79" s="5" t="n">
        <f aca="false">O79-L79</f>
        <v>-0.00999999999999091</v>
      </c>
      <c r="Q79" s="2" t="str">
        <f aca="false">IF(ABS(P79)&lt;=0.011,"OK","CHECK")</f>
        <v>OK</v>
      </c>
    </row>
    <row r="80" customFormat="false" ht="15" hidden="false" customHeight="false" outlineLevel="0" collapsed="false">
      <c r="A80" s="2" t="s">
        <v>136</v>
      </c>
      <c r="B80" s="2" t="s">
        <v>34</v>
      </c>
      <c r="C80" s="2" t="s">
        <v>144</v>
      </c>
      <c r="D80" s="2" t="n">
        <v>227231</v>
      </c>
      <c r="E80" s="2" t="s">
        <v>138</v>
      </c>
      <c r="F80" s="2" t="s">
        <v>31</v>
      </c>
      <c r="G80" s="2" t="s">
        <v>61</v>
      </c>
      <c r="H80" s="3" t="n">
        <v>45.03</v>
      </c>
      <c r="I80" s="4" t="n">
        <v>0.675</v>
      </c>
      <c r="J80" s="4"/>
      <c r="K80" s="4"/>
      <c r="L80" s="3" t="n">
        <v>30.4</v>
      </c>
      <c r="M80" s="4" t="n">
        <f aca="false">IF(K80&lt;&gt;"",K80,I80)</f>
        <v>0.675</v>
      </c>
      <c r="N80" s="2" t="str">
        <f aca="false">IF(K80="","n/a (no discount)",IF(ABS(I80-J80-K80)&lt;=0.0001,"OK","CHECK"))</f>
        <v>n/a (no discount)</v>
      </c>
      <c r="O80" s="3" t="n">
        <f aca="false">ROUND(M80*H80,2)</f>
        <v>30.4</v>
      </c>
      <c r="P80" s="5" t="n">
        <f aca="false">O80-L80</f>
        <v>0</v>
      </c>
      <c r="Q80" s="2" t="str">
        <f aca="false">IF(ABS(P80)&lt;=0.011,"OK","CHECK")</f>
        <v>OK</v>
      </c>
    </row>
    <row r="81" customFormat="false" ht="15" hidden="false" customHeight="false" outlineLevel="0" collapsed="false">
      <c r="A81" s="2" t="s">
        <v>136</v>
      </c>
      <c r="B81" s="2" t="s">
        <v>18</v>
      </c>
      <c r="C81" s="2" t="s">
        <v>145</v>
      </c>
      <c r="D81" s="2" t="n">
        <v>246679</v>
      </c>
      <c r="E81" s="2" t="s">
        <v>138</v>
      </c>
      <c r="F81" s="2" t="s">
        <v>31</v>
      </c>
      <c r="G81" s="2" t="s">
        <v>61</v>
      </c>
      <c r="H81" s="3" t="n">
        <v>22.45</v>
      </c>
      <c r="I81" s="4" t="n">
        <v>0.675</v>
      </c>
      <c r="J81" s="4"/>
      <c r="K81" s="4"/>
      <c r="L81" s="3" t="n">
        <v>15.16</v>
      </c>
      <c r="M81" s="4" t="n">
        <f aca="false">IF(K81&lt;&gt;"",K81,I81)</f>
        <v>0.675</v>
      </c>
      <c r="N81" s="2" t="str">
        <f aca="false">IF(K81="","n/a (no discount)",IF(ABS(I81-J81-K81)&lt;=0.0001,"OK","CHECK"))</f>
        <v>n/a (no discount)</v>
      </c>
      <c r="O81" s="3" t="n">
        <f aca="false">ROUND(M81*H81,2)</f>
        <v>15.15</v>
      </c>
      <c r="P81" s="5" t="n">
        <f aca="false">O81-L81</f>
        <v>-0.00999999999999979</v>
      </c>
      <c r="Q81" s="2" t="str">
        <f aca="false">IF(ABS(P81)&lt;=0.011,"OK","CHECK")</f>
        <v>OK</v>
      </c>
    </row>
    <row r="82" customFormat="false" ht="15" hidden="false" customHeight="false" outlineLevel="0" collapsed="false">
      <c r="A82" s="2" t="s">
        <v>146</v>
      </c>
      <c r="B82" s="2" t="s">
        <v>34</v>
      </c>
      <c r="C82" s="2" t="s">
        <v>147</v>
      </c>
      <c r="D82" s="2" t="n">
        <v>85096</v>
      </c>
      <c r="E82" s="2" t="s">
        <v>148</v>
      </c>
      <c r="F82" s="2" t="s">
        <v>21</v>
      </c>
      <c r="G82" s="2" t="s">
        <v>43</v>
      </c>
      <c r="H82" s="3" t="n">
        <v>675</v>
      </c>
      <c r="I82" s="4" t="n">
        <v>1.7488</v>
      </c>
      <c r="J82" s="4" t="n">
        <v>0.205</v>
      </c>
      <c r="K82" s="4" t="n">
        <v>1.5438</v>
      </c>
      <c r="L82" s="3" t="n">
        <v>1042.07</v>
      </c>
      <c r="M82" s="4" t="n">
        <f aca="false">IF(K82&lt;&gt;"",K82,I82)</f>
        <v>1.5438</v>
      </c>
      <c r="N82" s="2" t="str">
        <f aca="false">IF(K82="","n/a (no discount)",IF(ABS(I82-J82-K82)&lt;=0.0001,"OK","CHECK"))</f>
        <v>OK</v>
      </c>
      <c r="O82" s="3" t="n">
        <f aca="false">ROUND(M82*H82,2)</f>
        <v>1042.07</v>
      </c>
      <c r="P82" s="5" t="n">
        <f aca="false">O82-L82</f>
        <v>0</v>
      </c>
      <c r="Q82" s="2" t="str">
        <f aca="false">IF(ABS(P82)&lt;=0.011,"OK","CHECK")</f>
        <v>OK</v>
      </c>
    </row>
    <row r="83" customFormat="false" ht="15" hidden="false" customHeight="false" outlineLevel="0" collapsed="false">
      <c r="A83" s="2" t="s">
        <v>146</v>
      </c>
      <c r="B83" s="2" t="s">
        <v>34</v>
      </c>
      <c r="C83" s="2" t="s">
        <v>149</v>
      </c>
      <c r="D83" s="2" t="n">
        <v>85127</v>
      </c>
      <c r="E83" s="2" t="s">
        <v>148</v>
      </c>
      <c r="F83" s="2" t="s">
        <v>21</v>
      </c>
      <c r="G83" s="2" t="s">
        <v>43</v>
      </c>
      <c r="H83" s="3" t="n">
        <v>293</v>
      </c>
      <c r="I83" s="4" t="n">
        <v>1.7488</v>
      </c>
      <c r="J83" s="4" t="n">
        <v>0.205</v>
      </c>
      <c r="K83" s="4" t="n">
        <v>1.5438</v>
      </c>
      <c r="L83" s="3" t="n">
        <v>452.34</v>
      </c>
      <c r="M83" s="4" t="n">
        <f aca="false">IF(K83&lt;&gt;"",K83,I83)</f>
        <v>1.5438</v>
      </c>
      <c r="N83" s="2" t="str">
        <f aca="false">IF(K83="","n/a (no discount)",IF(ABS(I83-J83-K83)&lt;=0.0001,"OK","CHECK"))</f>
        <v>OK</v>
      </c>
      <c r="O83" s="3" t="n">
        <f aca="false">ROUND(M83*H83,2)</f>
        <v>452.33</v>
      </c>
      <c r="P83" s="5" t="n">
        <f aca="false">O83-L83</f>
        <v>-0.00999999999999091</v>
      </c>
      <c r="Q83" s="2" t="str">
        <f aca="false">IF(ABS(P83)&lt;=0.011,"OK","CHECK")</f>
        <v>OK</v>
      </c>
    </row>
    <row r="84" customFormat="false" ht="15" hidden="false" customHeight="false" outlineLevel="0" collapsed="false">
      <c r="A84" s="2" t="s">
        <v>146</v>
      </c>
      <c r="B84" s="2" t="s">
        <v>34</v>
      </c>
      <c r="C84" s="2" t="s">
        <v>150</v>
      </c>
      <c r="D84" s="2" t="n">
        <v>85146</v>
      </c>
      <c r="E84" s="2" t="s">
        <v>148</v>
      </c>
      <c r="F84" s="2" t="s">
        <v>21</v>
      </c>
      <c r="G84" s="2" t="s">
        <v>43</v>
      </c>
      <c r="H84" s="3" t="n">
        <v>85</v>
      </c>
      <c r="I84" s="4" t="n">
        <v>1.7488</v>
      </c>
      <c r="J84" s="4" t="n">
        <v>0.205</v>
      </c>
      <c r="K84" s="4" t="n">
        <v>1.5438</v>
      </c>
      <c r="L84" s="3" t="n">
        <v>131.23</v>
      </c>
      <c r="M84" s="4" t="n">
        <f aca="false">IF(K84&lt;&gt;"",K84,I84)</f>
        <v>1.5438</v>
      </c>
      <c r="N84" s="2" t="str">
        <f aca="false">IF(K84="","n/a (no discount)",IF(ABS(I84-J84-K84)&lt;=0.0001,"OK","CHECK"))</f>
        <v>OK</v>
      </c>
      <c r="O84" s="3" t="n">
        <f aca="false">ROUND(M84*H84,2)</f>
        <v>131.22</v>
      </c>
      <c r="P84" s="5" t="n">
        <f aca="false">O84-L84</f>
        <v>-0.00999999999999091</v>
      </c>
      <c r="Q84" s="2" t="str">
        <f aca="false">IF(ABS(P84)&lt;=0.011,"OK","CHECK")</f>
        <v>OK</v>
      </c>
    </row>
    <row r="85" customFormat="false" ht="15" hidden="false" customHeight="false" outlineLevel="0" collapsed="false">
      <c r="A85" s="2" t="s">
        <v>146</v>
      </c>
      <c r="B85" s="2" t="s">
        <v>18</v>
      </c>
      <c r="C85" s="2" t="s">
        <v>151</v>
      </c>
      <c r="D85" s="2" t="n">
        <v>111452</v>
      </c>
      <c r="E85" s="2" t="s">
        <v>148</v>
      </c>
      <c r="F85" s="2" t="s">
        <v>21</v>
      </c>
      <c r="G85" s="2" t="s">
        <v>27</v>
      </c>
      <c r="H85" s="3" t="n">
        <v>661</v>
      </c>
      <c r="I85" s="4" t="n">
        <v>1.7694</v>
      </c>
      <c r="J85" s="4" t="n">
        <v>0.205</v>
      </c>
      <c r="K85" s="4" t="n">
        <v>1.5644</v>
      </c>
      <c r="L85" s="3" t="n">
        <v>1034.07</v>
      </c>
      <c r="M85" s="4" t="n">
        <f aca="false">IF(K85&lt;&gt;"",K85,I85)</f>
        <v>1.5644</v>
      </c>
      <c r="N85" s="2" t="str">
        <f aca="false">IF(K85="","n/a (no discount)",IF(ABS(I85-J85-K85)&lt;=0.0001,"OK","CHECK"))</f>
        <v>OK</v>
      </c>
      <c r="O85" s="3" t="n">
        <f aca="false">ROUND(M85*H85,2)</f>
        <v>1034.07</v>
      </c>
      <c r="P85" s="5" t="n">
        <f aca="false">O85-L85</f>
        <v>0</v>
      </c>
      <c r="Q85" s="2" t="str">
        <f aca="false">IF(ABS(P85)&lt;=0.011,"OK","CHECK")</f>
        <v>OK</v>
      </c>
    </row>
    <row r="86" customFormat="false" ht="15" hidden="false" customHeight="false" outlineLevel="0" collapsed="false">
      <c r="A86" s="2" t="s">
        <v>146</v>
      </c>
      <c r="B86" s="2" t="s">
        <v>18</v>
      </c>
      <c r="C86" s="2" t="s">
        <v>152</v>
      </c>
      <c r="D86" s="2" t="n">
        <v>111473</v>
      </c>
      <c r="E86" s="2" t="s">
        <v>148</v>
      </c>
      <c r="F86" s="2" t="s">
        <v>21</v>
      </c>
      <c r="G86" s="2" t="s">
        <v>27</v>
      </c>
      <c r="H86" s="3" t="n">
        <v>290</v>
      </c>
      <c r="I86" s="4" t="n">
        <v>1.7694</v>
      </c>
      <c r="J86" s="4" t="n">
        <v>0.205</v>
      </c>
      <c r="K86" s="4" t="n">
        <v>1.5644</v>
      </c>
      <c r="L86" s="3" t="n">
        <v>453.68</v>
      </c>
      <c r="M86" s="4" t="n">
        <f aca="false">IF(K86&lt;&gt;"",K86,I86)</f>
        <v>1.5644</v>
      </c>
      <c r="N86" s="2" t="str">
        <f aca="false">IF(K86="","n/a (no discount)",IF(ABS(I86-J86-K86)&lt;=0.0001,"OK","CHECK"))</f>
        <v>OK</v>
      </c>
      <c r="O86" s="3" t="n">
        <f aca="false">ROUND(M86*H86,2)</f>
        <v>453.68</v>
      </c>
      <c r="P86" s="5" t="n">
        <f aca="false">O86-L86</f>
        <v>0</v>
      </c>
      <c r="Q86" s="2" t="str">
        <f aca="false">IF(ABS(P86)&lt;=0.011,"OK","CHECK")</f>
        <v>OK</v>
      </c>
    </row>
    <row r="87" customFormat="false" ht="15" hidden="false" customHeight="false" outlineLevel="0" collapsed="false">
      <c r="A87" s="2" t="s">
        <v>146</v>
      </c>
      <c r="B87" s="2" t="s">
        <v>18</v>
      </c>
      <c r="C87" s="2" t="s">
        <v>102</v>
      </c>
      <c r="D87" s="2" t="n">
        <v>111486</v>
      </c>
      <c r="E87" s="2" t="s">
        <v>148</v>
      </c>
      <c r="F87" s="2" t="s">
        <v>21</v>
      </c>
      <c r="G87" s="2" t="s">
        <v>27</v>
      </c>
      <c r="H87" s="3" t="n">
        <v>151.01</v>
      </c>
      <c r="I87" s="4" t="n">
        <v>1.7694</v>
      </c>
      <c r="J87" s="4" t="n">
        <v>0.205</v>
      </c>
      <c r="K87" s="4" t="n">
        <v>1.5644</v>
      </c>
      <c r="L87" s="3" t="n">
        <v>236.25</v>
      </c>
      <c r="M87" s="4" t="n">
        <f aca="false">IF(K87&lt;&gt;"",K87,I87)</f>
        <v>1.5644</v>
      </c>
      <c r="N87" s="2" t="str">
        <f aca="false">IF(K87="","n/a (no discount)",IF(ABS(I87-J87-K87)&lt;=0.0001,"OK","CHECK"))</f>
        <v>OK</v>
      </c>
      <c r="O87" s="3" t="n">
        <f aca="false">ROUND(M87*H87,2)</f>
        <v>236.24</v>
      </c>
      <c r="P87" s="5" t="n">
        <f aca="false">O87-L87</f>
        <v>-0.00999999999999091</v>
      </c>
      <c r="Q87" s="2" t="str">
        <f aca="false">IF(ABS(P87)&lt;=0.011,"OK","CHECK")</f>
        <v>OK</v>
      </c>
    </row>
    <row r="88" customFormat="false" ht="15" hidden="false" customHeight="false" outlineLevel="0" collapsed="false">
      <c r="A88" s="2" t="s">
        <v>146</v>
      </c>
      <c r="B88" s="2" t="s">
        <v>25</v>
      </c>
      <c r="C88" s="2" t="s">
        <v>153</v>
      </c>
      <c r="D88" s="2" t="n">
        <v>117399</v>
      </c>
      <c r="E88" s="2" t="s">
        <v>148</v>
      </c>
      <c r="F88" s="2" t="s">
        <v>21</v>
      </c>
      <c r="G88" s="2" t="s">
        <v>27</v>
      </c>
      <c r="H88" s="3" t="n">
        <v>100</v>
      </c>
      <c r="I88" s="4" t="n">
        <v>1.6843</v>
      </c>
      <c r="J88" s="4" t="n">
        <v>0.205</v>
      </c>
      <c r="K88" s="4" t="n">
        <v>1.4793</v>
      </c>
      <c r="L88" s="3" t="n">
        <v>147.93</v>
      </c>
      <c r="M88" s="4" t="n">
        <f aca="false">IF(K88&lt;&gt;"",K88,I88)</f>
        <v>1.4793</v>
      </c>
      <c r="N88" s="2" t="str">
        <f aca="false">IF(K88="","n/a (no discount)",IF(ABS(I88-J88-K88)&lt;=0.0001,"OK","CHECK"))</f>
        <v>OK</v>
      </c>
      <c r="O88" s="3" t="n">
        <f aca="false">ROUND(M88*H88,2)</f>
        <v>147.93</v>
      </c>
      <c r="P88" s="5" t="n">
        <f aca="false">O88-L88</f>
        <v>0</v>
      </c>
      <c r="Q88" s="2" t="str">
        <f aca="false">IF(ABS(P88)&lt;=0.011,"OK","CHECK")</f>
        <v>OK</v>
      </c>
    </row>
    <row r="89" customFormat="false" ht="15" hidden="false" customHeight="false" outlineLevel="0" collapsed="false">
      <c r="A89" s="2" t="s">
        <v>146</v>
      </c>
      <c r="B89" s="2" t="s">
        <v>25</v>
      </c>
      <c r="C89" s="2" t="s">
        <v>154</v>
      </c>
      <c r="D89" s="2" t="n">
        <v>117427</v>
      </c>
      <c r="E89" s="2" t="s">
        <v>148</v>
      </c>
      <c r="F89" s="2" t="s">
        <v>21</v>
      </c>
      <c r="G89" s="2" t="s">
        <v>27</v>
      </c>
      <c r="H89" s="3" t="n">
        <v>52</v>
      </c>
      <c r="I89" s="4" t="n">
        <v>1.6843</v>
      </c>
      <c r="J89" s="4" t="n">
        <v>0.205</v>
      </c>
      <c r="K89" s="4" t="n">
        <v>1.4793</v>
      </c>
      <c r="L89" s="3" t="n">
        <v>76.93</v>
      </c>
      <c r="M89" s="4" t="n">
        <f aca="false">IF(K89&lt;&gt;"",K89,I89)</f>
        <v>1.4793</v>
      </c>
      <c r="N89" s="2" t="str">
        <f aca="false">IF(K89="","n/a (no discount)",IF(ABS(I89-J89-K89)&lt;=0.0001,"OK","CHECK"))</f>
        <v>OK</v>
      </c>
      <c r="O89" s="3" t="n">
        <f aca="false">ROUND(M89*H89,2)</f>
        <v>76.92</v>
      </c>
      <c r="P89" s="5" t="n">
        <f aca="false">O89-L89</f>
        <v>-0.0100000000000051</v>
      </c>
      <c r="Q89" s="2" t="str">
        <f aca="false">IF(ABS(P89)&lt;=0.011,"OK","CHECK")</f>
        <v>OK</v>
      </c>
    </row>
    <row r="90" customFormat="false" ht="15" hidden="false" customHeight="false" outlineLevel="0" collapsed="false">
      <c r="A90" s="2" t="s">
        <v>146</v>
      </c>
      <c r="B90" s="2" t="s">
        <v>34</v>
      </c>
      <c r="C90" s="2" t="s">
        <v>155</v>
      </c>
      <c r="D90" s="2" t="n">
        <v>85075</v>
      </c>
      <c r="E90" s="2" t="s">
        <v>148</v>
      </c>
      <c r="F90" s="2" t="s">
        <v>31</v>
      </c>
      <c r="G90" s="2" t="s">
        <v>43</v>
      </c>
      <c r="H90" s="3" t="n">
        <v>49</v>
      </c>
      <c r="I90" s="4" t="n">
        <v>0.6</v>
      </c>
      <c r="J90" s="4" t="n">
        <v>0</v>
      </c>
      <c r="K90" s="4" t="n">
        <v>0.6</v>
      </c>
      <c r="L90" s="3" t="n">
        <v>29.4</v>
      </c>
      <c r="M90" s="4" t="n">
        <f aca="false">IF(K90&lt;&gt;"",K90,I90)</f>
        <v>0.6</v>
      </c>
      <c r="N90" s="2" t="str">
        <f aca="false">IF(K90="","n/a (no discount)",IF(ABS(I90-J90-K90)&lt;=0.0001,"OK","CHECK"))</f>
        <v>OK</v>
      </c>
      <c r="O90" s="3" t="n">
        <f aca="false">ROUND(M90*H90,2)</f>
        <v>29.4</v>
      </c>
      <c r="P90" s="5" t="n">
        <f aca="false">O90-L90</f>
        <v>0</v>
      </c>
      <c r="Q90" s="2" t="str">
        <f aca="false">IF(ABS(P90)&lt;=0.011,"OK","CHECK")</f>
        <v>OK</v>
      </c>
    </row>
    <row r="91" customFormat="false" ht="15" hidden="false" customHeight="false" outlineLevel="0" collapsed="false">
      <c r="A91" s="2" t="s">
        <v>146</v>
      </c>
      <c r="B91" s="2" t="s">
        <v>18</v>
      </c>
      <c r="C91" s="2" t="s">
        <v>156</v>
      </c>
      <c r="D91" s="2" t="n">
        <v>111434</v>
      </c>
      <c r="E91" s="2" t="s">
        <v>148</v>
      </c>
      <c r="F91" s="2" t="s">
        <v>31</v>
      </c>
      <c r="G91" s="2" t="s">
        <v>27</v>
      </c>
      <c r="H91" s="3" t="n">
        <v>48.86</v>
      </c>
      <c r="I91" s="4" t="n">
        <v>0.6</v>
      </c>
      <c r="J91" s="4" t="n">
        <v>0</v>
      </c>
      <c r="K91" s="4" t="n">
        <v>0.6</v>
      </c>
      <c r="L91" s="3" t="n">
        <v>29.32</v>
      </c>
      <c r="M91" s="4" t="n">
        <f aca="false">IF(K91&lt;&gt;"",K91,I91)</f>
        <v>0.6</v>
      </c>
      <c r="N91" s="2" t="str">
        <f aca="false">IF(K91="","n/a (no discount)",IF(ABS(I91-J91-K91)&lt;=0.0001,"OK","CHECK"))</f>
        <v>OK</v>
      </c>
      <c r="O91" s="3" t="n">
        <f aca="false">ROUND(M91*H91,2)</f>
        <v>29.32</v>
      </c>
      <c r="P91" s="5" t="n">
        <f aca="false">O91-L91</f>
        <v>0</v>
      </c>
      <c r="Q91" s="2" t="str">
        <f aca="false">IF(ABS(P91)&lt;=0.011,"OK","CHECK")</f>
        <v>OK</v>
      </c>
    </row>
    <row r="92" customFormat="false" ht="15" hidden="false" customHeight="false" outlineLevel="0" collapsed="false">
      <c r="A92" s="2" t="s">
        <v>146</v>
      </c>
      <c r="B92" s="2" t="s">
        <v>25</v>
      </c>
      <c r="C92" s="2" t="s">
        <v>157</v>
      </c>
      <c r="D92" s="2" t="n">
        <v>117373</v>
      </c>
      <c r="E92" s="2" t="s">
        <v>148</v>
      </c>
      <c r="F92" s="2" t="s">
        <v>31</v>
      </c>
      <c r="G92" s="2" t="s">
        <v>27</v>
      </c>
      <c r="H92" s="3" t="n">
        <v>8</v>
      </c>
      <c r="I92" s="4" t="n">
        <v>0.6</v>
      </c>
      <c r="J92" s="4" t="n">
        <v>0</v>
      </c>
      <c r="K92" s="4" t="n">
        <v>0.6</v>
      </c>
      <c r="L92" s="3" t="n">
        <v>4.8</v>
      </c>
      <c r="M92" s="4" t="n">
        <f aca="false">IF(K92&lt;&gt;"",K92,I92)</f>
        <v>0.6</v>
      </c>
      <c r="N92" s="2" t="str">
        <f aca="false">IF(K92="","n/a (no discount)",IF(ABS(I92-J92-K92)&lt;=0.0001,"OK","CHECK"))</f>
        <v>OK</v>
      </c>
      <c r="O92" s="3" t="n">
        <f aca="false">ROUND(M92*H92,2)</f>
        <v>4.8</v>
      </c>
      <c r="P92" s="5" t="n">
        <f aca="false">O92-L92</f>
        <v>0</v>
      </c>
      <c r="Q92" s="2" t="str">
        <f aca="false">IF(ABS(P92)&lt;=0.011,"OK","CHECK")</f>
        <v>OK</v>
      </c>
    </row>
    <row r="93" customFormat="false" ht="15" hidden="false" customHeight="false" outlineLevel="0" collapsed="false">
      <c r="A93" s="2" t="s">
        <v>158</v>
      </c>
      <c r="B93" s="2" t="s">
        <v>72</v>
      </c>
      <c r="C93" s="2" t="s">
        <v>159</v>
      </c>
      <c r="D93" s="2" t="n">
        <v>108012</v>
      </c>
      <c r="E93" s="2" t="s">
        <v>160</v>
      </c>
      <c r="F93" s="2" t="s">
        <v>21</v>
      </c>
      <c r="G93" s="2" t="s">
        <v>22</v>
      </c>
      <c r="H93" s="3" t="n">
        <v>250</v>
      </c>
      <c r="I93" s="4" t="n">
        <v>1.5944</v>
      </c>
      <c r="J93" s="4"/>
      <c r="K93" s="4"/>
      <c r="L93" s="3" t="n">
        <v>398.6</v>
      </c>
      <c r="M93" s="4" t="n">
        <f aca="false">IF(K93&lt;&gt;"",K93,I93)</f>
        <v>1.5944</v>
      </c>
      <c r="N93" s="2" t="str">
        <f aca="false">IF(K93="","n/a (no discount)",IF(ABS(I93-J93-K93)&lt;=0.0001,"OK","CHECK"))</f>
        <v>n/a (no discount)</v>
      </c>
      <c r="O93" s="3" t="n">
        <f aca="false">ROUND(M93*H93,2)</f>
        <v>398.6</v>
      </c>
      <c r="P93" s="5" t="n">
        <f aca="false">O93-L93</f>
        <v>0</v>
      </c>
      <c r="Q93" s="2" t="str">
        <f aca="false">IF(ABS(P93)&lt;=0.011,"OK","CHECK")</f>
        <v>OK</v>
      </c>
    </row>
    <row r="94" customFormat="false" ht="15" hidden="false" customHeight="false" outlineLevel="0" collapsed="false">
      <c r="A94" s="2" t="s">
        <v>158</v>
      </c>
      <c r="B94" s="2" t="s">
        <v>72</v>
      </c>
      <c r="C94" s="2" t="s">
        <v>35</v>
      </c>
      <c r="D94" s="2" t="n">
        <v>108025</v>
      </c>
      <c r="E94" s="2" t="s">
        <v>160</v>
      </c>
      <c r="F94" s="2" t="s">
        <v>21</v>
      </c>
      <c r="G94" s="2" t="s">
        <v>22</v>
      </c>
      <c r="H94" s="3" t="n">
        <v>370</v>
      </c>
      <c r="I94" s="4" t="n">
        <v>1.5944</v>
      </c>
      <c r="J94" s="4"/>
      <c r="K94" s="4"/>
      <c r="L94" s="3" t="n">
        <v>589.93</v>
      </c>
      <c r="M94" s="4" t="n">
        <f aca="false">IF(K94&lt;&gt;"",K94,I94)</f>
        <v>1.5944</v>
      </c>
      <c r="N94" s="2" t="str">
        <f aca="false">IF(K94="","n/a (no discount)",IF(ABS(I94-J94-K94)&lt;=0.0001,"OK","CHECK"))</f>
        <v>n/a (no discount)</v>
      </c>
      <c r="O94" s="3" t="n">
        <f aca="false">ROUND(M94*H94,2)</f>
        <v>589.93</v>
      </c>
      <c r="P94" s="5" t="n">
        <f aca="false">O94-L94</f>
        <v>0</v>
      </c>
      <c r="Q94" s="2" t="str">
        <f aca="false">IF(ABS(P94)&lt;=0.011,"OK","CHECK")</f>
        <v>OK</v>
      </c>
    </row>
    <row r="95" customFormat="false" ht="15" hidden="false" customHeight="false" outlineLevel="0" collapsed="false">
      <c r="A95" s="2" t="s">
        <v>158</v>
      </c>
      <c r="B95" s="2" t="s">
        <v>72</v>
      </c>
      <c r="C95" s="2" t="s">
        <v>161</v>
      </c>
      <c r="D95" s="2" t="n">
        <v>108054</v>
      </c>
      <c r="E95" s="2" t="s">
        <v>160</v>
      </c>
      <c r="F95" s="2" t="s">
        <v>21</v>
      </c>
      <c r="G95" s="2" t="s">
        <v>22</v>
      </c>
      <c r="H95" s="3" t="n">
        <v>45.81</v>
      </c>
      <c r="I95" s="4" t="n">
        <v>1.5944</v>
      </c>
      <c r="J95" s="4"/>
      <c r="K95" s="4"/>
      <c r="L95" s="3" t="n">
        <v>73.04</v>
      </c>
      <c r="M95" s="4" t="n">
        <f aca="false">IF(K95&lt;&gt;"",K95,I95)</f>
        <v>1.5944</v>
      </c>
      <c r="N95" s="2" t="str">
        <f aca="false">IF(K95="","n/a (no discount)",IF(ABS(I95-J95-K95)&lt;=0.0001,"OK","CHECK"))</f>
        <v>n/a (no discount)</v>
      </c>
      <c r="O95" s="3" t="n">
        <f aca="false">ROUND(M95*H95,2)</f>
        <v>73.04</v>
      </c>
      <c r="P95" s="5" t="n">
        <f aca="false">O95-L95</f>
        <v>0</v>
      </c>
      <c r="Q95" s="2" t="str">
        <f aca="false">IF(ABS(P95)&lt;=0.011,"OK","CHECK")</f>
        <v>OK</v>
      </c>
    </row>
    <row r="96" customFormat="false" ht="15" hidden="false" customHeight="false" outlineLevel="0" collapsed="false">
      <c r="A96" s="2" t="s">
        <v>158</v>
      </c>
      <c r="B96" s="2" t="s">
        <v>72</v>
      </c>
      <c r="C96" s="2" t="s">
        <v>162</v>
      </c>
      <c r="D96" s="2" t="n">
        <v>108042</v>
      </c>
      <c r="E96" s="2" t="s">
        <v>160</v>
      </c>
      <c r="F96" s="2" t="s">
        <v>31</v>
      </c>
      <c r="G96" s="2" t="s">
        <v>22</v>
      </c>
      <c r="H96" s="3" t="n">
        <v>19.92</v>
      </c>
      <c r="I96" s="4" t="n">
        <v>0.675</v>
      </c>
      <c r="J96" s="4"/>
      <c r="K96" s="4"/>
      <c r="L96" s="3" t="n">
        <v>13.45</v>
      </c>
      <c r="M96" s="4" t="n">
        <f aca="false">IF(K96&lt;&gt;"",K96,I96)</f>
        <v>0.675</v>
      </c>
      <c r="N96" s="2" t="str">
        <f aca="false">IF(K96="","n/a (no discount)",IF(ABS(I96-J96-K96)&lt;=0.0001,"OK","CHECK"))</f>
        <v>n/a (no discount)</v>
      </c>
      <c r="O96" s="3" t="n">
        <f aca="false">ROUND(M96*H96,2)</f>
        <v>13.45</v>
      </c>
      <c r="P96" s="5" t="n">
        <f aca="false">O96-L96</f>
        <v>0</v>
      </c>
      <c r="Q96" s="2" t="str">
        <f aca="false">IF(ABS(P96)&lt;=0.011,"OK","CHECK")</f>
        <v>OK</v>
      </c>
    </row>
    <row r="97" customFormat="false" ht="15" hidden="false" customHeight="false" outlineLevel="0" collapsed="false">
      <c r="A97" s="2" t="s">
        <v>163</v>
      </c>
      <c r="B97" s="2" t="s">
        <v>164</v>
      </c>
      <c r="C97" s="2" t="s">
        <v>165</v>
      </c>
      <c r="D97" s="2" t="n">
        <v>79582</v>
      </c>
      <c r="E97" s="2" t="s">
        <v>166</v>
      </c>
      <c r="F97" s="2" t="s">
        <v>21</v>
      </c>
      <c r="G97" s="2" t="s">
        <v>43</v>
      </c>
      <c r="H97" s="3" t="n">
        <v>400</v>
      </c>
      <c r="I97" s="4" t="n">
        <v>1.7488</v>
      </c>
      <c r="J97" s="4" t="n">
        <v>0.205</v>
      </c>
      <c r="K97" s="4" t="n">
        <v>1.5438</v>
      </c>
      <c r="L97" s="3" t="n">
        <v>617.52</v>
      </c>
      <c r="M97" s="4" t="n">
        <f aca="false">IF(K97&lt;&gt;"",K97,I97)</f>
        <v>1.5438</v>
      </c>
      <c r="N97" s="2" t="str">
        <f aca="false">IF(K97="","n/a (no discount)",IF(ABS(I97-J97-K97)&lt;=0.0001,"OK","CHECK"))</f>
        <v>OK</v>
      </c>
      <c r="O97" s="3" t="n">
        <f aca="false">ROUND(M97*H97,2)</f>
        <v>617.52</v>
      </c>
      <c r="P97" s="5" t="n">
        <f aca="false">O97-L97</f>
        <v>0</v>
      </c>
      <c r="Q97" s="2" t="str">
        <f aca="false">IF(ABS(P97)&lt;=0.011,"OK","CHECK")</f>
        <v>OK</v>
      </c>
    </row>
    <row r="98" customFormat="false" ht="15" hidden="false" customHeight="false" outlineLevel="0" collapsed="false">
      <c r="A98" s="2" t="s">
        <v>163</v>
      </c>
      <c r="B98" s="2" t="s">
        <v>72</v>
      </c>
      <c r="C98" s="2" t="s">
        <v>167</v>
      </c>
      <c r="D98" s="2" t="n">
        <v>108328</v>
      </c>
      <c r="E98" s="2" t="s">
        <v>166</v>
      </c>
      <c r="F98" s="2" t="s">
        <v>21</v>
      </c>
      <c r="G98" s="2" t="s">
        <v>22</v>
      </c>
      <c r="H98" s="3" t="n">
        <v>525</v>
      </c>
      <c r="I98" s="4" t="n">
        <v>1.5944</v>
      </c>
      <c r="J98" s="4"/>
      <c r="K98" s="4"/>
      <c r="L98" s="3" t="n">
        <v>837.06</v>
      </c>
      <c r="M98" s="4" t="n">
        <f aca="false">IF(K98&lt;&gt;"",K98,I98)</f>
        <v>1.5944</v>
      </c>
      <c r="N98" s="2" t="str">
        <f aca="false">IF(K98="","n/a (no discount)",IF(ABS(I98-J98-K98)&lt;=0.0001,"OK","CHECK"))</f>
        <v>n/a (no discount)</v>
      </c>
      <c r="O98" s="3" t="n">
        <f aca="false">ROUND(M98*H98,2)</f>
        <v>837.06</v>
      </c>
      <c r="P98" s="5" t="n">
        <f aca="false">O98-L98</f>
        <v>0</v>
      </c>
      <c r="Q98" s="2" t="str">
        <f aca="false">IF(ABS(P98)&lt;=0.011,"OK","CHECK")</f>
        <v>OK</v>
      </c>
    </row>
    <row r="99" customFormat="false" ht="15" hidden="false" customHeight="false" outlineLevel="0" collapsed="false">
      <c r="A99" s="2" t="s">
        <v>163</v>
      </c>
      <c r="B99" s="2" t="s">
        <v>72</v>
      </c>
      <c r="C99" s="2" t="s">
        <v>168</v>
      </c>
      <c r="D99" s="2" t="n">
        <v>108402</v>
      </c>
      <c r="E99" s="2" t="s">
        <v>166</v>
      </c>
      <c r="F99" s="2" t="s">
        <v>21</v>
      </c>
      <c r="G99" s="2" t="s">
        <v>22</v>
      </c>
      <c r="H99" s="3" t="n">
        <v>179</v>
      </c>
      <c r="I99" s="4" t="n">
        <v>1.5944</v>
      </c>
      <c r="J99" s="4"/>
      <c r="K99" s="4"/>
      <c r="L99" s="3" t="n">
        <v>285.4</v>
      </c>
      <c r="M99" s="4" t="n">
        <f aca="false">IF(K99&lt;&gt;"",K99,I99)</f>
        <v>1.5944</v>
      </c>
      <c r="N99" s="2" t="str">
        <f aca="false">IF(K99="","n/a (no discount)",IF(ABS(I99-J99-K99)&lt;=0.0001,"OK","CHECK"))</f>
        <v>n/a (no discount)</v>
      </c>
      <c r="O99" s="3" t="n">
        <f aca="false">ROUND(M99*H99,2)</f>
        <v>285.4</v>
      </c>
      <c r="P99" s="5" t="n">
        <f aca="false">O99-L99</f>
        <v>0</v>
      </c>
      <c r="Q99" s="2" t="str">
        <f aca="false">IF(ABS(P99)&lt;=0.011,"OK","CHECK")</f>
        <v>OK</v>
      </c>
    </row>
    <row r="100" customFormat="false" ht="15" hidden="false" customHeight="false" outlineLevel="0" collapsed="false">
      <c r="A100" s="2" t="s">
        <v>169</v>
      </c>
      <c r="B100" s="2" t="s">
        <v>99</v>
      </c>
      <c r="C100" s="2" t="s">
        <v>170</v>
      </c>
      <c r="D100" s="2" t="n">
        <v>93346</v>
      </c>
      <c r="E100" s="2" t="s">
        <v>171</v>
      </c>
      <c r="F100" s="2" t="s">
        <v>21</v>
      </c>
      <c r="G100" s="2" t="s">
        <v>172</v>
      </c>
      <c r="H100" s="3" t="n">
        <v>632.02</v>
      </c>
      <c r="I100" s="4" t="n">
        <v>1.6366</v>
      </c>
      <c r="J100" s="4"/>
      <c r="K100" s="4"/>
      <c r="L100" s="3" t="n">
        <v>1034.37</v>
      </c>
      <c r="M100" s="4" t="n">
        <f aca="false">IF(K100&lt;&gt;"",K100,I100)</f>
        <v>1.6366</v>
      </c>
      <c r="N100" s="2" t="str">
        <f aca="false">IF(K100="","n/a (no discount)",IF(ABS(I100-J100-K100)&lt;=0.0001,"OK","CHECK"))</f>
        <v>n/a (no discount)</v>
      </c>
      <c r="O100" s="3" t="n">
        <f aca="false">ROUND(M100*H100,2)</f>
        <v>1034.36</v>
      </c>
      <c r="P100" s="5" t="n">
        <f aca="false">O100-L100</f>
        <v>-0.00999999999999091</v>
      </c>
      <c r="Q100" s="2" t="str">
        <f aca="false">IF(ABS(P100)&lt;=0.011,"OK","CHECK")</f>
        <v>OK</v>
      </c>
    </row>
    <row r="101" customFormat="false" ht="15" hidden="false" customHeight="false" outlineLevel="0" collapsed="false">
      <c r="A101" s="2" t="s">
        <v>169</v>
      </c>
      <c r="B101" s="2" t="s">
        <v>99</v>
      </c>
      <c r="C101" s="2" t="s">
        <v>173</v>
      </c>
      <c r="D101" s="2" t="n">
        <v>93402</v>
      </c>
      <c r="E101" s="2" t="s">
        <v>171</v>
      </c>
      <c r="F101" s="2" t="s">
        <v>21</v>
      </c>
      <c r="G101" s="2" t="s">
        <v>172</v>
      </c>
      <c r="H101" s="3" t="n">
        <v>108</v>
      </c>
      <c r="I101" s="4" t="n">
        <v>1.6366</v>
      </c>
      <c r="J101" s="4"/>
      <c r="K101" s="4"/>
      <c r="L101" s="3" t="n">
        <v>176.76</v>
      </c>
      <c r="M101" s="4" t="n">
        <f aca="false">IF(K101&lt;&gt;"",K101,I101)</f>
        <v>1.6366</v>
      </c>
      <c r="N101" s="2" t="str">
        <f aca="false">IF(K101="","n/a (no discount)",IF(ABS(I101-J101-K101)&lt;=0.0001,"OK","CHECK"))</f>
        <v>n/a (no discount)</v>
      </c>
      <c r="O101" s="3" t="n">
        <f aca="false">ROUND(M101*H101,2)</f>
        <v>176.75</v>
      </c>
      <c r="P101" s="5" t="n">
        <f aca="false">O101-L101</f>
        <v>-0.00999999999999091</v>
      </c>
      <c r="Q101" s="2" t="str">
        <f aca="false">IF(ABS(P101)&lt;=0.011,"OK","CHECK")</f>
        <v>OK</v>
      </c>
    </row>
    <row r="102" customFormat="false" ht="15" hidden="false" customHeight="false" outlineLevel="0" collapsed="false">
      <c r="A102" s="2" t="s">
        <v>169</v>
      </c>
      <c r="B102" s="2" t="s">
        <v>99</v>
      </c>
      <c r="C102" s="2" t="s">
        <v>174</v>
      </c>
      <c r="D102" s="2" t="n">
        <v>93388</v>
      </c>
      <c r="E102" s="2" t="s">
        <v>171</v>
      </c>
      <c r="F102" s="2" t="s">
        <v>31</v>
      </c>
      <c r="G102" s="2" t="s">
        <v>172</v>
      </c>
      <c r="H102" s="3" t="n">
        <v>31.49</v>
      </c>
      <c r="I102" s="4" t="n">
        <v>0.675</v>
      </c>
      <c r="J102" s="4"/>
      <c r="K102" s="4"/>
      <c r="L102" s="3" t="n">
        <v>21.26</v>
      </c>
      <c r="M102" s="4" t="n">
        <f aca="false">IF(K102&lt;&gt;"",K102,I102)</f>
        <v>0.675</v>
      </c>
      <c r="N102" s="2" t="str">
        <f aca="false">IF(K102="","n/a (no discount)",IF(ABS(I102-J102-K102)&lt;=0.0001,"OK","CHECK"))</f>
        <v>n/a (no discount)</v>
      </c>
      <c r="O102" s="3" t="n">
        <f aca="false">ROUND(M102*H102,2)</f>
        <v>21.26</v>
      </c>
      <c r="P102" s="5" t="n">
        <f aca="false">O102-L102</f>
        <v>0</v>
      </c>
      <c r="Q102" s="2" t="str">
        <f aca="false">IF(ABS(P102)&lt;=0.011,"OK","CHECK")</f>
        <v>OK</v>
      </c>
    </row>
    <row r="103" customFormat="false" ht="15" hidden="false" customHeight="false" outlineLevel="0" collapsed="false">
      <c r="A103" s="2" t="s">
        <v>175</v>
      </c>
      <c r="B103" s="2" t="s">
        <v>99</v>
      </c>
      <c r="C103" s="2" t="s">
        <v>176</v>
      </c>
      <c r="D103" s="2" t="n">
        <v>93019</v>
      </c>
      <c r="E103" s="2" t="s">
        <v>177</v>
      </c>
      <c r="F103" s="2" t="s">
        <v>21</v>
      </c>
      <c r="G103" s="2" t="s">
        <v>43</v>
      </c>
      <c r="H103" s="3" t="n">
        <v>400</v>
      </c>
      <c r="I103" s="4" t="n">
        <v>1.8116</v>
      </c>
      <c r="J103" s="4" t="n">
        <v>0.205</v>
      </c>
      <c r="K103" s="4" t="n">
        <v>1.6066</v>
      </c>
      <c r="L103" s="3" t="n">
        <v>642.64</v>
      </c>
      <c r="M103" s="4" t="n">
        <f aca="false">IF(K103&lt;&gt;"",K103,I103)</f>
        <v>1.6066</v>
      </c>
      <c r="N103" s="2" t="str">
        <f aca="false">IF(K103="","n/a (no discount)",IF(ABS(I103-J103-K103)&lt;=0.0001,"OK","CHECK"))</f>
        <v>OK</v>
      </c>
      <c r="O103" s="3" t="n">
        <f aca="false">ROUND(M103*H103,2)</f>
        <v>642.64</v>
      </c>
      <c r="P103" s="5" t="n">
        <f aca="false">O103-L103</f>
        <v>0</v>
      </c>
      <c r="Q103" s="2" t="str">
        <f aca="false">IF(ABS(P103)&lt;=0.011,"OK","CHECK")</f>
        <v>OK</v>
      </c>
    </row>
    <row r="104" customFormat="false" ht="15" hidden="false" customHeight="false" outlineLevel="0" collapsed="false">
      <c r="A104" s="2" t="s">
        <v>175</v>
      </c>
      <c r="B104" s="2" t="s">
        <v>82</v>
      </c>
      <c r="C104" s="2" t="s">
        <v>178</v>
      </c>
      <c r="D104" s="2" t="n">
        <v>113223</v>
      </c>
      <c r="E104" s="2" t="s">
        <v>177</v>
      </c>
      <c r="F104" s="2" t="s">
        <v>21</v>
      </c>
      <c r="G104" s="2" t="s">
        <v>27</v>
      </c>
      <c r="H104" s="3" t="n">
        <v>720.02</v>
      </c>
      <c r="I104" s="4" t="n">
        <v>1.7694</v>
      </c>
      <c r="J104" s="4" t="n">
        <v>0.205</v>
      </c>
      <c r="K104" s="4" t="n">
        <v>1.5644</v>
      </c>
      <c r="L104" s="3" t="n">
        <v>1126.4</v>
      </c>
      <c r="M104" s="4" t="n">
        <f aca="false">IF(K104&lt;&gt;"",K104,I104)</f>
        <v>1.5644</v>
      </c>
      <c r="N104" s="2" t="str">
        <f aca="false">IF(K104="","n/a (no discount)",IF(ABS(I104-J104-K104)&lt;=0.0001,"OK","CHECK"))</f>
        <v>OK</v>
      </c>
      <c r="O104" s="3" t="n">
        <f aca="false">ROUND(M104*H104,2)</f>
        <v>1126.4</v>
      </c>
      <c r="P104" s="5" t="n">
        <f aca="false">O104-L104</f>
        <v>0</v>
      </c>
      <c r="Q104" s="2" t="str">
        <f aca="false">IF(ABS(P104)&lt;=0.011,"OK","CHECK")</f>
        <v>OK</v>
      </c>
    </row>
    <row r="105" customFormat="false" ht="15" hidden="false" customHeight="false" outlineLevel="0" collapsed="false">
      <c r="A105" s="2" t="s">
        <v>175</v>
      </c>
      <c r="B105" s="2" t="s">
        <v>82</v>
      </c>
      <c r="C105" s="2" t="s">
        <v>179</v>
      </c>
      <c r="D105" s="2" t="n">
        <v>113251</v>
      </c>
      <c r="E105" s="2" t="s">
        <v>177</v>
      </c>
      <c r="F105" s="2" t="s">
        <v>21</v>
      </c>
      <c r="G105" s="2" t="s">
        <v>27</v>
      </c>
      <c r="H105" s="3" t="n">
        <v>150</v>
      </c>
      <c r="I105" s="4" t="n">
        <v>1.7694</v>
      </c>
      <c r="J105" s="4" t="n">
        <v>0.205</v>
      </c>
      <c r="K105" s="4" t="n">
        <v>1.5644</v>
      </c>
      <c r="L105" s="3" t="n">
        <v>234.66</v>
      </c>
      <c r="M105" s="4" t="n">
        <f aca="false">IF(K105&lt;&gt;"",K105,I105)</f>
        <v>1.5644</v>
      </c>
      <c r="N105" s="2" t="str">
        <f aca="false">IF(K105="","n/a (no discount)",IF(ABS(I105-J105-K105)&lt;=0.0001,"OK","CHECK"))</f>
        <v>OK</v>
      </c>
      <c r="O105" s="3" t="n">
        <f aca="false">ROUND(M105*H105,2)</f>
        <v>234.66</v>
      </c>
      <c r="P105" s="5" t="n">
        <f aca="false">O105-L105</f>
        <v>0</v>
      </c>
      <c r="Q105" s="2" t="str">
        <f aca="false">IF(ABS(P105)&lt;=0.011,"OK","CHECK")</f>
        <v>OK</v>
      </c>
    </row>
    <row r="106" customFormat="false" ht="15" hidden="false" customHeight="false" outlineLevel="0" collapsed="false">
      <c r="A106" s="2" t="s">
        <v>175</v>
      </c>
      <c r="B106" s="2" t="s">
        <v>82</v>
      </c>
      <c r="C106" s="2" t="s">
        <v>180</v>
      </c>
      <c r="D106" s="2" t="n">
        <v>113263</v>
      </c>
      <c r="E106" s="2" t="s">
        <v>177</v>
      </c>
      <c r="F106" s="2" t="s">
        <v>21</v>
      </c>
      <c r="G106" s="2" t="s">
        <v>27</v>
      </c>
      <c r="H106" s="3" t="n">
        <v>295.96</v>
      </c>
      <c r="I106" s="4" t="n">
        <v>1.7694</v>
      </c>
      <c r="J106" s="4" t="n">
        <v>0.205</v>
      </c>
      <c r="K106" s="4" t="n">
        <v>1.5644</v>
      </c>
      <c r="L106" s="3" t="n">
        <v>463</v>
      </c>
      <c r="M106" s="4" t="n">
        <f aca="false">IF(K106&lt;&gt;"",K106,I106)</f>
        <v>1.5644</v>
      </c>
      <c r="N106" s="2" t="str">
        <f aca="false">IF(K106="","n/a (no discount)",IF(ABS(I106-J106-K106)&lt;=0.0001,"OK","CHECK"))</f>
        <v>OK</v>
      </c>
      <c r="O106" s="3" t="n">
        <f aca="false">ROUND(M106*H106,2)</f>
        <v>463</v>
      </c>
      <c r="P106" s="5" t="n">
        <f aca="false">O106-L106</f>
        <v>0</v>
      </c>
      <c r="Q106" s="2" t="str">
        <f aca="false">IF(ABS(P106)&lt;=0.011,"OK","CHECK")</f>
        <v>OK</v>
      </c>
    </row>
    <row r="107" customFormat="false" ht="15" hidden="false" customHeight="false" outlineLevel="0" collapsed="false">
      <c r="A107" s="2" t="s">
        <v>181</v>
      </c>
      <c r="B107" s="2" t="s">
        <v>65</v>
      </c>
      <c r="C107" s="2" t="s">
        <v>182</v>
      </c>
      <c r="D107" s="2" t="n">
        <v>100933</v>
      </c>
      <c r="E107" s="2" t="s">
        <v>183</v>
      </c>
      <c r="F107" s="2" t="s">
        <v>21</v>
      </c>
      <c r="G107" s="2" t="s">
        <v>43</v>
      </c>
      <c r="H107" s="3" t="n">
        <v>550.66</v>
      </c>
      <c r="I107" s="4" t="n">
        <v>1.7694</v>
      </c>
      <c r="J107" s="4" t="n">
        <v>0.205</v>
      </c>
      <c r="K107" s="4" t="n">
        <v>1.5644</v>
      </c>
      <c r="L107" s="3" t="n">
        <v>861.46</v>
      </c>
      <c r="M107" s="4" t="n">
        <f aca="false">IF(K107&lt;&gt;"",K107,I107)</f>
        <v>1.5644</v>
      </c>
      <c r="N107" s="2" t="str">
        <f aca="false">IF(K107="","n/a (no discount)",IF(ABS(I107-J107-K107)&lt;=0.0001,"OK","CHECK"))</f>
        <v>OK</v>
      </c>
      <c r="O107" s="3" t="n">
        <f aca="false">ROUND(M107*H107,2)</f>
        <v>861.45</v>
      </c>
      <c r="P107" s="5" t="n">
        <f aca="false">O107-L107</f>
        <v>-0.00999999999999091</v>
      </c>
      <c r="Q107" s="2" t="str">
        <f aca="false">IF(ABS(P107)&lt;=0.011,"OK","CHECK")</f>
        <v>OK</v>
      </c>
    </row>
    <row r="108" customFormat="false" ht="15" hidden="false" customHeight="false" outlineLevel="0" collapsed="false">
      <c r="A108" s="2" t="s">
        <v>181</v>
      </c>
      <c r="B108" s="2" t="s">
        <v>65</v>
      </c>
      <c r="C108" s="2" t="s">
        <v>184</v>
      </c>
      <c r="D108" s="2" t="n">
        <v>100956</v>
      </c>
      <c r="E108" s="2" t="s">
        <v>183</v>
      </c>
      <c r="F108" s="2" t="s">
        <v>21</v>
      </c>
      <c r="G108" s="2" t="s">
        <v>43</v>
      </c>
      <c r="H108" s="3" t="n">
        <v>300.06</v>
      </c>
      <c r="I108" s="4" t="n">
        <v>1.7694</v>
      </c>
      <c r="J108" s="4" t="n">
        <v>0.205</v>
      </c>
      <c r="K108" s="4" t="n">
        <v>1.5644</v>
      </c>
      <c r="L108" s="3" t="n">
        <v>469.42</v>
      </c>
      <c r="M108" s="4" t="n">
        <f aca="false">IF(K108&lt;&gt;"",K108,I108)</f>
        <v>1.5644</v>
      </c>
      <c r="N108" s="2" t="str">
        <f aca="false">IF(K108="","n/a (no discount)",IF(ABS(I108-J108-K108)&lt;=0.0001,"OK","CHECK"))</f>
        <v>OK</v>
      </c>
      <c r="O108" s="3" t="n">
        <f aca="false">ROUND(M108*H108,2)</f>
        <v>469.41</v>
      </c>
      <c r="P108" s="5" t="n">
        <f aca="false">O108-L108</f>
        <v>-0.00999999999999091</v>
      </c>
      <c r="Q108" s="2" t="str">
        <f aca="false">IF(ABS(P108)&lt;=0.011,"OK","CHECK")</f>
        <v>OK</v>
      </c>
    </row>
    <row r="109" customFormat="false" ht="15" hidden="false" customHeight="false" outlineLevel="0" collapsed="false">
      <c r="A109" s="2" t="s">
        <v>181</v>
      </c>
      <c r="B109" s="2" t="s">
        <v>65</v>
      </c>
      <c r="C109" s="2" t="s">
        <v>185</v>
      </c>
      <c r="D109" s="2" t="n">
        <v>100971</v>
      </c>
      <c r="E109" s="2" t="s">
        <v>183</v>
      </c>
      <c r="F109" s="2" t="s">
        <v>31</v>
      </c>
      <c r="G109" s="2" t="s">
        <v>43</v>
      </c>
      <c r="H109" s="3" t="n">
        <v>49.4</v>
      </c>
      <c r="I109" s="4" t="n">
        <v>0.6</v>
      </c>
      <c r="J109" s="4" t="n">
        <v>0</v>
      </c>
      <c r="K109" s="4" t="n">
        <v>0.6</v>
      </c>
      <c r="L109" s="3" t="n">
        <v>29.64</v>
      </c>
      <c r="M109" s="4" t="n">
        <f aca="false">IF(K109&lt;&gt;"",K109,I109)</f>
        <v>0.6</v>
      </c>
      <c r="N109" s="2" t="str">
        <f aca="false">IF(K109="","n/a (no discount)",IF(ABS(I109-J109-K109)&lt;=0.0001,"OK","CHECK"))</f>
        <v>OK</v>
      </c>
      <c r="O109" s="3" t="n">
        <f aca="false">ROUND(M109*H109,2)</f>
        <v>29.64</v>
      </c>
      <c r="P109" s="5" t="n">
        <f aca="false">O109-L109</f>
        <v>0</v>
      </c>
      <c r="Q109" s="2" t="str">
        <f aca="false">IF(ABS(P109)&lt;=0.011,"OK","CHECK")</f>
        <v>OK</v>
      </c>
    </row>
    <row r="110" customFormat="false" ht="15" hidden="false" customHeight="false" outlineLevel="0" collapsed="false">
      <c r="A110" s="2" t="s">
        <v>186</v>
      </c>
      <c r="B110" s="2" t="s">
        <v>82</v>
      </c>
      <c r="C110" s="2" t="s">
        <v>187</v>
      </c>
      <c r="D110" s="2" t="n">
        <v>249366</v>
      </c>
      <c r="E110" s="2" t="s">
        <v>188</v>
      </c>
      <c r="F110" s="2" t="s">
        <v>21</v>
      </c>
      <c r="G110" s="2" t="s">
        <v>61</v>
      </c>
      <c r="H110" s="3" t="n">
        <v>543</v>
      </c>
      <c r="I110" s="4" t="n">
        <v>1.7694</v>
      </c>
      <c r="J110" s="4" t="n">
        <v>0.19</v>
      </c>
      <c r="K110" s="4" t="n">
        <v>1.5794</v>
      </c>
      <c r="L110" s="3" t="n">
        <v>857.62</v>
      </c>
      <c r="M110" s="4" t="n">
        <f aca="false">IF(K110&lt;&gt;"",K110,I110)</f>
        <v>1.5794</v>
      </c>
      <c r="N110" s="2" t="str">
        <f aca="false">IF(K110="","n/a (no discount)",IF(ABS(I110-J110-K110)&lt;=0.0001,"OK","CHECK"))</f>
        <v>OK</v>
      </c>
      <c r="O110" s="3" t="n">
        <f aca="false">ROUND(M110*H110,2)</f>
        <v>857.61</v>
      </c>
      <c r="P110" s="5" t="n">
        <f aca="false">O110-L110</f>
        <v>-0.00999999999999091</v>
      </c>
      <c r="Q110" s="2" t="str">
        <f aca="false">IF(ABS(P110)&lt;=0.011,"OK","CHECK")</f>
        <v>OK</v>
      </c>
    </row>
    <row r="111" customFormat="false" ht="15" hidden="false" customHeight="false" outlineLevel="0" collapsed="false">
      <c r="A111" s="2" t="s">
        <v>186</v>
      </c>
      <c r="B111" s="2" t="s">
        <v>82</v>
      </c>
      <c r="C111" s="2" t="s">
        <v>189</v>
      </c>
      <c r="D111" s="2" t="n">
        <v>249389</v>
      </c>
      <c r="E111" s="2" t="s">
        <v>188</v>
      </c>
      <c r="F111" s="2" t="s">
        <v>21</v>
      </c>
      <c r="G111" s="2" t="s">
        <v>61</v>
      </c>
      <c r="H111" s="3" t="n">
        <v>129.64</v>
      </c>
      <c r="I111" s="4" t="n">
        <v>1.7694</v>
      </c>
      <c r="J111" s="4" t="n">
        <v>0.19</v>
      </c>
      <c r="K111" s="4" t="n">
        <v>1.5794</v>
      </c>
      <c r="L111" s="3" t="n">
        <v>204.76</v>
      </c>
      <c r="M111" s="4" t="n">
        <f aca="false">IF(K111&lt;&gt;"",K111,I111)</f>
        <v>1.5794</v>
      </c>
      <c r="N111" s="2" t="str">
        <f aca="false">IF(K111="","n/a (no discount)",IF(ABS(I111-J111-K111)&lt;=0.0001,"OK","CHECK"))</f>
        <v>OK</v>
      </c>
      <c r="O111" s="3" t="n">
        <f aca="false">ROUND(M111*H111,2)</f>
        <v>204.75</v>
      </c>
      <c r="P111" s="5" t="n">
        <f aca="false">O111-L111</f>
        <v>-0.00999999999999091</v>
      </c>
      <c r="Q111" s="2" t="str">
        <f aca="false">IF(ABS(P111)&lt;=0.011,"OK","CHECK")</f>
        <v>OK</v>
      </c>
    </row>
    <row r="112" customFormat="false" ht="15" hidden="false" customHeight="false" outlineLevel="0" collapsed="false">
      <c r="A112" s="2" t="s">
        <v>186</v>
      </c>
      <c r="B112" s="2" t="s">
        <v>82</v>
      </c>
      <c r="C112" s="2" t="s">
        <v>159</v>
      </c>
      <c r="D112" s="2" t="n">
        <v>249399</v>
      </c>
      <c r="E112" s="2" t="s">
        <v>188</v>
      </c>
      <c r="F112" s="2" t="s">
        <v>31</v>
      </c>
      <c r="G112" s="2" t="s">
        <v>61</v>
      </c>
      <c r="H112" s="3" t="n">
        <v>45.28</v>
      </c>
      <c r="I112" s="4" t="n">
        <v>0.675</v>
      </c>
      <c r="J112" s="4"/>
      <c r="K112" s="4"/>
      <c r="L112" s="3" t="n">
        <v>30.57</v>
      </c>
      <c r="M112" s="4" t="n">
        <f aca="false">IF(K112&lt;&gt;"",K112,I112)</f>
        <v>0.675</v>
      </c>
      <c r="N112" s="2" t="str">
        <f aca="false">IF(K112="","n/a (no discount)",IF(ABS(I112-J112-K112)&lt;=0.0001,"OK","CHECK"))</f>
        <v>n/a (no discount)</v>
      </c>
      <c r="O112" s="3" t="n">
        <f aca="false">ROUND(M112*H112,2)</f>
        <v>30.56</v>
      </c>
      <c r="P112" s="5" t="n">
        <f aca="false">O112-L112</f>
        <v>-0.0100000000000016</v>
      </c>
      <c r="Q112" s="2" t="str">
        <f aca="false">IF(ABS(P112)&lt;=0.011,"OK","CHECK")</f>
        <v>OK</v>
      </c>
    </row>
    <row r="113" customFormat="false" ht="15" hidden="false" customHeight="false" outlineLevel="0" collapsed="false">
      <c r="A113" s="2" t="s">
        <v>190</v>
      </c>
      <c r="B113" s="2" t="s">
        <v>25</v>
      </c>
      <c r="C113" s="2" t="s">
        <v>191</v>
      </c>
      <c r="D113" s="2" t="n">
        <v>117362</v>
      </c>
      <c r="E113" s="2" t="s">
        <v>192</v>
      </c>
      <c r="F113" s="2" t="s">
        <v>21</v>
      </c>
      <c r="G113" s="2" t="s">
        <v>27</v>
      </c>
      <c r="H113" s="3" t="n">
        <v>567.19</v>
      </c>
      <c r="I113" s="4" t="n">
        <v>1.6843</v>
      </c>
      <c r="J113" s="4" t="n">
        <v>0.205</v>
      </c>
      <c r="K113" s="4" t="n">
        <v>1.4793</v>
      </c>
      <c r="L113" s="3" t="n">
        <v>839.05</v>
      </c>
      <c r="M113" s="4" t="n">
        <f aca="false">IF(K113&lt;&gt;"",K113,I113)</f>
        <v>1.4793</v>
      </c>
      <c r="N113" s="2" t="str">
        <f aca="false">IF(K113="","n/a (no discount)",IF(ABS(I113-J113-K113)&lt;=0.0001,"OK","CHECK"))</f>
        <v>OK</v>
      </c>
      <c r="O113" s="3" t="n">
        <f aca="false">ROUND(M113*H113,2)</f>
        <v>839.04</v>
      </c>
      <c r="P113" s="5" t="n">
        <f aca="false">O113-L113</f>
        <v>-0.00999999999999091</v>
      </c>
      <c r="Q113" s="2" t="str">
        <f aca="false">IF(ABS(P113)&lt;=0.011,"OK","CHECK")</f>
        <v>OK</v>
      </c>
    </row>
    <row r="114" customFormat="false" ht="15" hidden="false" customHeight="false" outlineLevel="0" collapsed="false">
      <c r="A114" s="2" t="s">
        <v>190</v>
      </c>
      <c r="B114" s="2" t="s">
        <v>25</v>
      </c>
      <c r="C114" s="2" t="s">
        <v>193</v>
      </c>
      <c r="D114" s="2" t="n">
        <v>117417</v>
      </c>
      <c r="E114" s="2" t="s">
        <v>192</v>
      </c>
      <c r="F114" s="2" t="s">
        <v>21</v>
      </c>
      <c r="G114" s="2" t="s">
        <v>27</v>
      </c>
      <c r="H114" s="3" t="n">
        <v>289.94</v>
      </c>
      <c r="I114" s="4" t="n">
        <v>1.6843</v>
      </c>
      <c r="J114" s="4" t="n">
        <v>0.205</v>
      </c>
      <c r="K114" s="4" t="n">
        <v>1.4793</v>
      </c>
      <c r="L114" s="3" t="n">
        <v>428.91</v>
      </c>
      <c r="M114" s="4" t="n">
        <f aca="false">IF(K114&lt;&gt;"",K114,I114)</f>
        <v>1.4793</v>
      </c>
      <c r="N114" s="2" t="str">
        <f aca="false">IF(K114="","n/a (no discount)",IF(ABS(I114-J114-K114)&lt;=0.0001,"OK","CHECK"))</f>
        <v>OK</v>
      </c>
      <c r="O114" s="3" t="n">
        <f aca="false">ROUND(M114*H114,2)</f>
        <v>428.91</v>
      </c>
      <c r="P114" s="5" t="n">
        <f aca="false">O114-L114</f>
        <v>0</v>
      </c>
      <c r="Q114" s="2" t="str">
        <f aca="false">IF(ABS(P114)&lt;=0.011,"OK","CHECK")</f>
        <v>OK</v>
      </c>
    </row>
    <row r="115" customFormat="false" ht="15" hidden="false" customHeight="false" outlineLevel="0" collapsed="false">
      <c r="A115" s="2" t="s">
        <v>190</v>
      </c>
      <c r="B115" s="2" t="s">
        <v>25</v>
      </c>
      <c r="C115" s="2" t="s">
        <v>194</v>
      </c>
      <c r="D115" s="2" t="n">
        <v>117450</v>
      </c>
      <c r="E115" s="2" t="s">
        <v>192</v>
      </c>
      <c r="F115" s="2" t="s">
        <v>21</v>
      </c>
      <c r="G115" s="2" t="s">
        <v>27</v>
      </c>
      <c r="H115" s="3" t="n">
        <v>152.01</v>
      </c>
      <c r="I115" s="4" t="n">
        <v>1.6843</v>
      </c>
      <c r="J115" s="4" t="n">
        <v>0.205</v>
      </c>
      <c r="K115" s="4" t="n">
        <v>1.4793</v>
      </c>
      <c r="L115" s="3" t="n">
        <v>224.87</v>
      </c>
      <c r="M115" s="4" t="n">
        <f aca="false">IF(K115&lt;&gt;"",K115,I115)</f>
        <v>1.4793</v>
      </c>
      <c r="N115" s="2" t="str">
        <f aca="false">IF(K115="","n/a (no discount)",IF(ABS(I115-J115-K115)&lt;=0.0001,"OK","CHECK"))</f>
        <v>OK</v>
      </c>
      <c r="O115" s="3" t="n">
        <f aca="false">ROUND(M115*H115,2)</f>
        <v>224.87</v>
      </c>
      <c r="P115" s="5" t="n">
        <f aca="false">O115-L115</f>
        <v>0</v>
      </c>
      <c r="Q115" s="2" t="str">
        <f aca="false">IF(ABS(P115)&lt;=0.011,"OK","CHECK")</f>
        <v>OK</v>
      </c>
    </row>
    <row r="116" customFormat="false" ht="15" hidden="false" customHeight="false" outlineLevel="0" collapsed="false">
      <c r="A116" s="2" t="s">
        <v>190</v>
      </c>
      <c r="B116" s="2" t="s">
        <v>25</v>
      </c>
      <c r="C116" s="2" t="s">
        <v>195</v>
      </c>
      <c r="D116" s="2" t="n">
        <v>117468</v>
      </c>
      <c r="E116" s="2" t="s">
        <v>192</v>
      </c>
      <c r="F116" s="2" t="s">
        <v>31</v>
      </c>
      <c r="G116" s="2" t="s">
        <v>27</v>
      </c>
      <c r="H116" s="3" t="n">
        <v>44.89</v>
      </c>
      <c r="I116" s="4" t="n">
        <v>0.6</v>
      </c>
      <c r="J116" s="4" t="n">
        <v>0</v>
      </c>
      <c r="K116" s="4" t="n">
        <v>0.6</v>
      </c>
      <c r="L116" s="3" t="n">
        <v>26.94</v>
      </c>
      <c r="M116" s="4" t="n">
        <f aca="false">IF(K116&lt;&gt;"",K116,I116)</f>
        <v>0.6</v>
      </c>
      <c r="N116" s="2" t="str">
        <f aca="false">IF(K116="","n/a (no discount)",IF(ABS(I116-J116-K116)&lt;=0.0001,"OK","CHECK"))</f>
        <v>OK</v>
      </c>
      <c r="O116" s="3" t="n">
        <f aca="false">ROUND(M116*H116,2)</f>
        <v>26.93</v>
      </c>
      <c r="P116" s="5" t="n">
        <f aca="false">O116-L116</f>
        <v>-0.0100000000000016</v>
      </c>
      <c r="Q116" s="2" t="str">
        <f aca="false">IF(ABS(P116)&lt;=0.011,"OK","CHECK")</f>
        <v>OK</v>
      </c>
    </row>
    <row r="117" customFormat="false" ht="15" hidden="false" customHeight="false" outlineLevel="0" collapsed="false">
      <c r="A117" s="2" t="s">
        <v>196</v>
      </c>
      <c r="B117" s="2" t="s">
        <v>65</v>
      </c>
      <c r="C117" s="2" t="s">
        <v>197</v>
      </c>
      <c r="D117" s="2" t="n">
        <v>102383</v>
      </c>
      <c r="E117" s="2" t="s">
        <v>198</v>
      </c>
      <c r="F117" s="2" t="s">
        <v>21</v>
      </c>
      <c r="G117" s="2" t="s">
        <v>43</v>
      </c>
      <c r="H117" s="3" t="n">
        <v>215.65</v>
      </c>
      <c r="I117" s="4" t="n">
        <v>1.7694</v>
      </c>
      <c r="J117" s="4" t="n">
        <v>0.205</v>
      </c>
      <c r="K117" s="4" t="n">
        <v>1.5644</v>
      </c>
      <c r="L117" s="3" t="n">
        <v>337.37</v>
      </c>
      <c r="M117" s="4" t="n">
        <f aca="false">IF(K117&lt;&gt;"",K117,I117)</f>
        <v>1.5644</v>
      </c>
      <c r="N117" s="2" t="str">
        <f aca="false">IF(K117="","n/a (no discount)",IF(ABS(I117-J117-K117)&lt;=0.0001,"OK","CHECK"))</f>
        <v>OK</v>
      </c>
      <c r="O117" s="3" t="n">
        <f aca="false">ROUND(M117*H117,2)</f>
        <v>337.36</v>
      </c>
      <c r="P117" s="5" t="n">
        <f aca="false">O117-L117</f>
        <v>-0.00999999999999091</v>
      </c>
      <c r="Q117" s="2" t="str">
        <f aca="false">IF(ABS(P117)&lt;=0.011,"OK","CHECK")</f>
        <v>OK</v>
      </c>
    </row>
    <row r="118" customFormat="false" ht="15" hidden="false" customHeight="false" outlineLevel="0" collapsed="false">
      <c r="A118" s="2" t="s">
        <v>196</v>
      </c>
      <c r="B118" s="2" t="s">
        <v>65</v>
      </c>
      <c r="C118" s="2" t="s">
        <v>199</v>
      </c>
      <c r="D118" s="2" t="n">
        <v>102391</v>
      </c>
      <c r="E118" s="2" t="s">
        <v>198</v>
      </c>
      <c r="F118" s="2" t="s">
        <v>21</v>
      </c>
      <c r="G118" s="2" t="s">
        <v>43</v>
      </c>
      <c r="H118" s="3" t="n">
        <v>36.01</v>
      </c>
      <c r="I118" s="4" t="n">
        <v>1.7694</v>
      </c>
      <c r="J118" s="4" t="n">
        <v>0.205</v>
      </c>
      <c r="K118" s="4" t="n">
        <v>1.5644</v>
      </c>
      <c r="L118" s="3" t="n">
        <v>56.34</v>
      </c>
      <c r="M118" s="4" t="n">
        <f aca="false">IF(K118&lt;&gt;"",K118,I118)</f>
        <v>1.5644</v>
      </c>
      <c r="N118" s="2" t="str">
        <f aca="false">IF(K118="","n/a (no discount)",IF(ABS(I118-J118-K118)&lt;=0.0001,"OK","CHECK"))</f>
        <v>OK</v>
      </c>
      <c r="O118" s="3" t="n">
        <f aca="false">ROUND(M118*H118,2)</f>
        <v>56.33</v>
      </c>
      <c r="P118" s="5" t="n">
        <f aca="false">O118-L118</f>
        <v>-0.0100000000000051</v>
      </c>
      <c r="Q118" s="2" t="str">
        <f aca="false">IF(ABS(P118)&lt;=0.011,"OK","CHECK")</f>
        <v>OK</v>
      </c>
    </row>
    <row r="119" customFormat="false" ht="15" hidden="false" customHeight="false" outlineLevel="0" collapsed="false">
      <c r="A119" s="2" t="s">
        <v>196</v>
      </c>
      <c r="B119" s="2" t="s">
        <v>65</v>
      </c>
      <c r="C119" s="2" t="s">
        <v>200</v>
      </c>
      <c r="D119" s="2" t="n">
        <v>102397</v>
      </c>
      <c r="E119" s="2" t="s">
        <v>198</v>
      </c>
      <c r="F119" s="2" t="s">
        <v>21</v>
      </c>
      <c r="G119" s="2" t="s">
        <v>43</v>
      </c>
      <c r="H119" s="3" t="n">
        <v>600.13</v>
      </c>
      <c r="I119" s="4" t="n">
        <v>1.7694</v>
      </c>
      <c r="J119" s="4" t="n">
        <v>0.205</v>
      </c>
      <c r="K119" s="4" t="n">
        <v>1.5644</v>
      </c>
      <c r="L119" s="3" t="n">
        <v>938.85</v>
      </c>
      <c r="M119" s="4" t="n">
        <f aca="false">IF(K119&lt;&gt;"",K119,I119)</f>
        <v>1.5644</v>
      </c>
      <c r="N119" s="2" t="str">
        <f aca="false">IF(K119="","n/a (no discount)",IF(ABS(I119-J119-K119)&lt;=0.0001,"OK","CHECK"))</f>
        <v>OK</v>
      </c>
      <c r="O119" s="3" t="n">
        <f aca="false">ROUND(M119*H119,2)</f>
        <v>938.84</v>
      </c>
      <c r="P119" s="5" t="n">
        <f aca="false">O119-L119</f>
        <v>-0.00999999999999091</v>
      </c>
      <c r="Q119" s="2" t="str">
        <f aca="false">IF(ABS(P119)&lt;=0.011,"OK","CHECK")</f>
        <v>OK</v>
      </c>
    </row>
    <row r="120" customFormat="false" ht="15" hidden="false" customHeight="false" outlineLevel="0" collapsed="false">
      <c r="A120" s="2" t="s">
        <v>196</v>
      </c>
      <c r="B120" s="2" t="s">
        <v>65</v>
      </c>
      <c r="C120" s="2" t="s">
        <v>201</v>
      </c>
      <c r="D120" s="2" t="n">
        <v>102413</v>
      </c>
      <c r="E120" s="2" t="s">
        <v>198</v>
      </c>
      <c r="F120" s="2" t="s">
        <v>21</v>
      </c>
      <c r="G120" s="2" t="s">
        <v>43</v>
      </c>
      <c r="H120" s="3" t="n">
        <v>268.91</v>
      </c>
      <c r="I120" s="4" t="n">
        <v>1.7694</v>
      </c>
      <c r="J120" s="4" t="n">
        <v>0.205</v>
      </c>
      <c r="K120" s="4" t="n">
        <v>1.5644</v>
      </c>
      <c r="L120" s="3" t="n">
        <v>420.69</v>
      </c>
      <c r="M120" s="4" t="n">
        <f aca="false">IF(K120&lt;&gt;"",K120,I120)</f>
        <v>1.5644</v>
      </c>
      <c r="N120" s="2" t="str">
        <f aca="false">IF(K120="","n/a (no discount)",IF(ABS(I120-J120-K120)&lt;=0.0001,"OK","CHECK"))</f>
        <v>OK</v>
      </c>
      <c r="O120" s="3" t="n">
        <f aca="false">ROUND(M120*H120,2)</f>
        <v>420.68</v>
      </c>
      <c r="P120" s="5" t="n">
        <f aca="false">O120-L120</f>
        <v>-0.00999999999999091</v>
      </c>
      <c r="Q120" s="2" t="str">
        <f aca="false">IF(ABS(P120)&lt;=0.011,"OK","CHECK")</f>
        <v>OK</v>
      </c>
    </row>
    <row r="121" customFormat="false" ht="15" hidden="false" customHeight="false" outlineLevel="0" collapsed="false">
      <c r="A121" s="2" t="s">
        <v>196</v>
      </c>
      <c r="B121" s="2" t="s">
        <v>65</v>
      </c>
      <c r="C121" s="2" t="s">
        <v>202</v>
      </c>
      <c r="D121" s="2" t="n">
        <v>102405</v>
      </c>
      <c r="E121" s="2" t="s">
        <v>198</v>
      </c>
      <c r="F121" s="2" t="s">
        <v>31</v>
      </c>
      <c r="G121" s="2" t="s">
        <v>43</v>
      </c>
      <c r="H121" s="3" t="n">
        <v>88.2</v>
      </c>
      <c r="I121" s="4" t="n">
        <v>0.6</v>
      </c>
      <c r="J121" s="4" t="n">
        <v>0</v>
      </c>
      <c r="K121" s="4" t="n">
        <v>0.6</v>
      </c>
      <c r="L121" s="3" t="n">
        <v>52.92</v>
      </c>
      <c r="M121" s="4" t="n">
        <f aca="false">IF(K121&lt;&gt;"",K121,I121)</f>
        <v>0.6</v>
      </c>
      <c r="N121" s="2" t="str">
        <f aca="false">IF(K121="","n/a (no discount)",IF(ABS(I121-J121-K121)&lt;=0.0001,"OK","CHECK"))</f>
        <v>OK</v>
      </c>
      <c r="O121" s="3" t="n">
        <f aca="false">ROUND(M121*H121,2)</f>
        <v>52.92</v>
      </c>
      <c r="P121" s="5" t="n">
        <f aca="false">O121-L121</f>
        <v>0</v>
      </c>
      <c r="Q121" s="2" t="str">
        <f aca="false">IF(ABS(P121)&lt;=0.011,"OK","CHECK")</f>
        <v>OK</v>
      </c>
    </row>
  </sheetData>
  <autoFilter ref="A1:Q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6" t="s">
        <v>0</v>
      </c>
      <c r="B1" s="6" t="s">
        <v>203</v>
      </c>
      <c r="C1" s="6" t="s">
        <v>204</v>
      </c>
      <c r="D1" s="6" t="s">
        <v>15</v>
      </c>
      <c r="E1" s="6" t="s">
        <v>205</v>
      </c>
    </row>
    <row r="2" customFormat="false" ht="15" hidden="false" customHeight="false" outlineLevel="0" collapsed="false">
      <c r="A2" s="2" t="s">
        <v>17</v>
      </c>
      <c r="B2" s="3" t="n">
        <v>1537.81</v>
      </c>
      <c r="C2" s="3" t="n">
        <f aca="false">ROUND(SUMIF(Transactions!$A$2:$A$121,A2&amp;"",Transactions!$L$2:$L$121),2)</f>
        <v>1537.81</v>
      </c>
      <c r="D2" s="3" t="n">
        <f aca="false">C2-B2</f>
        <v>0</v>
      </c>
      <c r="E2" s="2" t="str">
        <f aca="false">IF(ABS(D2)&lt;=0.01,"OK","CHECK")</f>
        <v>OK</v>
      </c>
    </row>
    <row r="3" customFormat="false" ht="15" hidden="false" customHeight="false" outlineLevel="0" collapsed="false">
      <c r="A3" s="2" t="s">
        <v>33</v>
      </c>
      <c r="B3" s="3" t="n">
        <v>798.31</v>
      </c>
      <c r="C3" s="3" t="n">
        <f aca="false">ROUND(SUMIF(Transactions!$A$2:$A$121,A3&amp;"",Transactions!$L$2:$L$121),2)</f>
        <v>798.31</v>
      </c>
      <c r="D3" s="3" t="n">
        <f aca="false">C3-B3</f>
        <v>0</v>
      </c>
      <c r="E3" s="2" t="str">
        <f aca="false">IF(ABS(D3)&lt;=0.01,"OK","CHECK")</f>
        <v>OK</v>
      </c>
    </row>
    <row r="4" customFormat="false" ht="15" hidden="false" customHeight="false" outlineLevel="0" collapsed="false">
      <c r="A4" s="2" t="s">
        <v>39</v>
      </c>
      <c r="B4" s="3" t="n">
        <v>1468.9</v>
      </c>
      <c r="C4" s="3" t="n">
        <f aca="false">ROUND(SUMIF(Transactions!$A$2:$A$121,A4&amp;"",Transactions!$L$2:$L$121),2)</f>
        <v>1468.9</v>
      </c>
      <c r="D4" s="3" t="n">
        <f aca="false">C4-B4</f>
        <v>0</v>
      </c>
      <c r="E4" s="2" t="str">
        <f aca="false">IF(ABS(D4)&lt;=0.01,"OK","CHECK")</f>
        <v>OK</v>
      </c>
    </row>
    <row r="5" customFormat="false" ht="15" hidden="false" customHeight="false" outlineLevel="0" collapsed="false">
      <c r="A5" s="2" t="s">
        <v>47</v>
      </c>
      <c r="B5" s="3" t="n">
        <v>2234.29</v>
      </c>
      <c r="C5" s="3" t="n">
        <f aca="false">ROUND(SUMIF(Transactions!$A$2:$A$121,A5&amp;"",Transactions!$L$2:$L$121),2)</f>
        <v>2234.29</v>
      </c>
      <c r="D5" s="3" t="n">
        <f aca="false">C5-B5</f>
        <v>0</v>
      </c>
      <c r="E5" s="2" t="str">
        <f aca="false">IF(ABS(D5)&lt;=0.01,"OK","CHECK")</f>
        <v>OK</v>
      </c>
    </row>
    <row r="6" customFormat="false" ht="15" hidden="false" customHeight="false" outlineLevel="0" collapsed="false">
      <c r="A6" s="2" t="s">
        <v>58</v>
      </c>
      <c r="B6" s="3" t="n">
        <v>1197.69</v>
      </c>
      <c r="C6" s="3" t="n">
        <f aca="false">ROUND(SUMIF(Transactions!$A$2:$A$121,A6&amp;"",Transactions!$L$2:$L$121),2)</f>
        <v>1197.69</v>
      </c>
      <c r="D6" s="3" t="n">
        <f aca="false">C6-B6</f>
        <v>0</v>
      </c>
      <c r="E6" s="2" t="str">
        <f aca="false">IF(ABS(D6)&lt;=0.01,"OK","CHECK")</f>
        <v>OK</v>
      </c>
    </row>
    <row r="7" customFormat="false" ht="15" hidden="false" customHeight="false" outlineLevel="0" collapsed="false">
      <c r="A7" s="2" t="s">
        <v>64</v>
      </c>
      <c r="B7" s="3" t="n">
        <v>1622.08</v>
      </c>
      <c r="C7" s="3" t="n">
        <f aca="false">ROUND(SUMIF(Transactions!$A$2:$A$121,A7&amp;"",Transactions!$L$2:$L$121),2)</f>
        <v>1622.08</v>
      </c>
      <c r="D7" s="3" t="n">
        <f aca="false">C7-B7</f>
        <v>0</v>
      </c>
      <c r="E7" s="2" t="str">
        <f aca="false">IF(ABS(D7)&lt;=0.01,"OK","CHECK")</f>
        <v>OK</v>
      </c>
    </row>
    <row r="8" customFormat="false" ht="15" hidden="false" customHeight="false" outlineLevel="0" collapsed="false">
      <c r="A8" s="2" t="s">
        <v>71</v>
      </c>
      <c r="B8" s="3" t="n">
        <v>1614.09</v>
      </c>
      <c r="C8" s="3" t="n">
        <f aca="false">ROUND(SUMIF(Transactions!$A$2:$A$121,A8&amp;"",Transactions!$L$2:$L$121),2)</f>
        <v>1614.09</v>
      </c>
      <c r="D8" s="3" t="n">
        <f aca="false">C8-B8</f>
        <v>0</v>
      </c>
      <c r="E8" s="2" t="str">
        <f aca="false">IF(ABS(D8)&lt;=0.01,"OK","CHECK")</f>
        <v>OK</v>
      </c>
    </row>
    <row r="9" customFormat="false" ht="15" hidden="false" customHeight="false" outlineLevel="0" collapsed="false">
      <c r="A9" s="2" t="s">
        <v>78</v>
      </c>
      <c r="B9" s="3" t="n">
        <v>2612.18</v>
      </c>
      <c r="C9" s="3" t="n">
        <f aca="false">ROUND(SUMIF(Transactions!$A$2:$A$121,A9&amp;"",Transactions!$L$2:$L$121),2)</f>
        <v>2612.18</v>
      </c>
      <c r="D9" s="3" t="n">
        <f aca="false">C9-B9</f>
        <v>0</v>
      </c>
      <c r="E9" s="2" t="str">
        <f aca="false">IF(ABS(D9)&lt;=0.01,"OK","CHECK")</f>
        <v>OK</v>
      </c>
    </row>
    <row r="10" customFormat="false" ht="15" hidden="false" customHeight="false" outlineLevel="0" collapsed="false">
      <c r="A10" s="2" t="s">
        <v>87</v>
      </c>
      <c r="B10" s="3" t="n">
        <v>1171.76</v>
      </c>
      <c r="C10" s="3" t="n">
        <f aca="false">ROUND(SUMIF(Transactions!$A$2:$A$121,A10&amp;"",Transactions!$L$2:$L$121),2)</f>
        <v>1171.76</v>
      </c>
      <c r="D10" s="3" t="n">
        <f aca="false">C10-B10</f>
        <v>0</v>
      </c>
      <c r="E10" s="2" t="str">
        <f aca="false">IF(ABS(D10)&lt;=0.01,"OK","CHECK")</f>
        <v>OK</v>
      </c>
    </row>
    <row r="11" customFormat="false" ht="15" hidden="false" customHeight="false" outlineLevel="0" collapsed="false">
      <c r="A11" s="2" t="s">
        <v>92</v>
      </c>
      <c r="B11" s="3" t="n">
        <v>1480.25</v>
      </c>
      <c r="C11" s="3" t="n">
        <f aca="false">ROUND(SUMIF(Transactions!$A$2:$A$121,A11&amp;"",Transactions!$L$2:$L$121),2)</f>
        <v>1480.25</v>
      </c>
      <c r="D11" s="3" t="n">
        <f aca="false">C11-B11</f>
        <v>0</v>
      </c>
      <c r="E11" s="2" t="str">
        <f aca="false">IF(ABS(D11)&lt;=0.01,"OK","CHECK")</f>
        <v>OK</v>
      </c>
    </row>
    <row r="12" customFormat="false" ht="15" hidden="false" customHeight="false" outlineLevel="0" collapsed="false">
      <c r="A12" s="2" t="s">
        <v>98</v>
      </c>
      <c r="B12" s="3" t="n">
        <v>2915.68</v>
      </c>
      <c r="C12" s="3" t="n">
        <f aca="false">ROUND(SUMIF(Transactions!$A$2:$A$121,A12&amp;"",Transactions!$L$2:$L$121),2)</f>
        <v>2915.68</v>
      </c>
      <c r="D12" s="3" t="n">
        <f aca="false">C12-B12</f>
        <v>0</v>
      </c>
      <c r="E12" s="2" t="str">
        <f aca="false">IF(ABS(D12)&lt;=0.01,"OK","CHECK")</f>
        <v>OK</v>
      </c>
    </row>
    <row r="13" customFormat="false" ht="15" hidden="false" customHeight="false" outlineLevel="0" collapsed="false">
      <c r="A13" s="2" t="s">
        <v>109</v>
      </c>
      <c r="B13" s="3" t="n">
        <v>952.74</v>
      </c>
      <c r="C13" s="3" t="n">
        <f aca="false">ROUND(SUMIF(Transactions!$A$2:$A$121,A13&amp;"",Transactions!$L$2:$L$121),2)</f>
        <v>952.74</v>
      </c>
      <c r="D13" s="3" t="n">
        <f aca="false">C13-B13</f>
        <v>0</v>
      </c>
      <c r="E13" s="2" t="str">
        <f aca="false">IF(ABS(D13)&lt;=0.01,"OK","CHECK")</f>
        <v>OK</v>
      </c>
    </row>
    <row r="14" customFormat="false" ht="15" hidden="false" customHeight="false" outlineLevel="0" collapsed="false">
      <c r="A14" s="2" t="s">
        <v>114</v>
      </c>
      <c r="B14" s="3" t="n">
        <v>54.21</v>
      </c>
      <c r="C14" s="3" t="n">
        <f aca="false">ROUND(SUMIF(Transactions!$A$2:$A$121,A14&amp;"",Transactions!$L$2:$L$121),2)</f>
        <v>54.21</v>
      </c>
      <c r="D14" s="3" t="n">
        <f aca="false">C14-B14</f>
        <v>0</v>
      </c>
      <c r="E14" s="2" t="str">
        <f aca="false">IF(ABS(D14)&lt;=0.01,"OK","CHECK")</f>
        <v>OK</v>
      </c>
    </row>
    <row r="15" customFormat="false" ht="15" hidden="false" customHeight="false" outlineLevel="0" collapsed="false">
      <c r="A15" s="2" t="s">
        <v>117</v>
      </c>
      <c r="B15" s="3" t="n">
        <v>988.13</v>
      </c>
      <c r="C15" s="3" t="n">
        <f aca="false">ROUND(SUMIF(Transactions!$A$2:$A$121,A15&amp;"",Transactions!$L$2:$L$121),2)</f>
        <v>988.13</v>
      </c>
      <c r="D15" s="3" t="n">
        <f aca="false">C15-B15</f>
        <v>0</v>
      </c>
      <c r="E15" s="2" t="str">
        <f aca="false">IF(ABS(D15)&lt;=0.01,"OK","CHECK")</f>
        <v>OK</v>
      </c>
    </row>
    <row r="16" customFormat="false" ht="15" hidden="false" customHeight="false" outlineLevel="0" collapsed="false">
      <c r="A16" s="2" t="s">
        <v>123</v>
      </c>
      <c r="B16" s="3" t="n">
        <v>1560.22</v>
      </c>
      <c r="C16" s="3" t="n">
        <f aca="false">ROUND(SUMIF(Transactions!$A$2:$A$121,A16&amp;"",Transactions!$L$2:$L$121),2)</f>
        <v>1560.22</v>
      </c>
      <c r="D16" s="3" t="n">
        <f aca="false">C16-B16</f>
        <v>0</v>
      </c>
      <c r="E16" s="2" t="str">
        <f aca="false">IF(ABS(D16)&lt;=0.01,"OK","CHECK")</f>
        <v>OK</v>
      </c>
    </row>
    <row r="17" customFormat="false" ht="15" hidden="false" customHeight="false" outlineLevel="0" collapsed="false">
      <c r="A17" s="2" t="s">
        <v>129</v>
      </c>
      <c r="B17" s="3" t="n">
        <v>1307.55</v>
      </c>
      <c r="C17" s="3" t="n">
        <f aca="false">ROUND(SUMIF(Transactions!$A$2:$A$121,A17&amp;"",Transactions!$L$2:$L$121),2)</f>
        <v>1307.55</v>
      </c>
      <c r="D17" s="3" t="n">
        <f aca="false">C17-B17</f>
        <v>0</v>
      </c>
      <c r="E17" s="2" t="str">
        <f aca="false">IF(ABS(D17)&lt;=0.01,"OK","CHECK")</f>
        <v>OK</v>
      </c>
    </row>
    <row r="18" customFormat="false" ht="15" hidden="false" customHeight="false" outlineLevel="0" collapsed="false">
      <c r="A18" s="2" t="s">
        <v>136</v>
      </c>
      <c r="B18" s="3" t="n">
        <v>3007.13</v>
      </c>
      <c r="C18" s="3" t="n">
        <f aca="false">ROUND(SUMIF(Transactions!$A$2:$A$121,A18&amp;"",Transactions!$L$2:$L$121),2)</f>
        <v>3007.13</v>
      </c>
      <c r="D18" s="3" t="n">
        <f aca="false">C18-B18</f>
        <v>0</v>
      </c>
      <c r="E18" s="2" t="str">
        <f aca="false">IF(ABS(D18)&lt;=0.01,"OK","CHECK")</f>
        <v>OK</v>
      </c>
    </row>
    <row r="19" customFormat="false" ht="15" hidden="false" customHeight="false" outlineLevel="0" collapsed="false">
      <c r="A19" s="2" t="s">
        <v>146</v>
      </c>
      <c r="B19" s="3" t="n">
        <v>3638.02</v>
      </c>
      <c r="C19" s="3" t="n">
        <f aca="false">ROUND(SUMIF(Transactions!$A$2:$A$121,A19&amp;"",Transactions!$L$2:$L$121),2)</f>
        <v>3638.02</v>
      </c>
      <c r="D19" s="3" t="n">
        <f aca="false">C19-B19</f>
        <v>0</v>
      </c>
      <c r="E19" s="2" t="str">
        <f aca="false">IF(ABS(D19)&lt;=0.01,"OK","CHECK")</f>
        <v>OK</v>
      </c>
    </row>
    <row r="20" customFormat="false" ht="15" hidden="false" customHeight="false" outlineLevel="0" collapsed="false">
      <c r="A20" s="2" t="s">
        <v>158</v>
      </c>
      <c r="B20" s="3" t="n">
        <v>1075.02</v>
      </c>
      <c r="C20" s="3" t="n">
        <f aca="false">ROUND(SUMIF(Transactions!$A$2:$A$121,A20&amp;"",Transactions!$L$2:$L$121),2)</f>
        <v>1075.02</v>
      </c>
      <c r="D20" s="3" t="n">
        <f aca="false">C20-B20</f>
        <v>0</v>
      </c>
      <c r="E20" s="2" t="str">
        <f aca="false">IF(ABS(D20)&lt;=0.01,"OK","CHECK")</f>
        <v>OK</v>
      </c>
    </row>
    <row r="21" customFormat="false" ht="15" hidden="false" customHeight="false" outlineLevel="0" collapsed="false">
      <c r="A21" s="2" t="s">
        <v>163</v>
      </c>
      <c r="B21" s="3" t="n">
        <v>1739.98</v>
      </c>
      <c r="C21" s="3" t="n">
        <f aca="false">ROUND(SUMIF(Transactions!$A$2:$A$121,A21&amp;"",Transactions!$L$2:$L$121),2)</f>
        <v>1739.98</v>
      </c>
      <c r="D21" s="3" t="n">
        <f aca="false">C21-B21</f>
        <v>0</v>
      </c>
      <c r="E21" s="2" t="str">
        <f aca="false">IF(ABS(D21)&lt;=0.01,"OK","CHECK")</f>
        <v>OK</v>
      </c>
    </row>
    <row r="22" customFormat="false" ht="15" hidden="false" customHeight="false" outlineLevel="0" collapsed="false">
      <c r="A22" s="2" t="s">
        <v>169</v>
      </c>
      <c r="B22" s="3" t="n">
        <v>1232.39</v>
      </c>
      <c r="C22" s="3" t="n">
        <f aca="false">ROUND(SUMIF(Transactions!$A$2:$A$121,A22&amp;"",Transactions!$L$2:$L$121),2)</f>
        <v>1232.39</v>
      </c>
      <c r="D22" s="3" t="n">
        <f aca="false">C22-B22</f>
        <v>0</v>
      </c>
      <c r="E22" s="2" t="str">
        <f aca="false">IF(ABS(D22)&lt;=0.01,"OK","CHECK")</f>
        <v>OK</v>
      </c>
    </row>
    <row r="23" customFormat="false" ht="15" hidden="false" customHeight="false" outlineLevel="0" collapsed="false">
      <c r="A23" s="2" t="s">
        <v>175</v>
      </c>
      <c r="B23" s="3" t="n">
        <v>2466.7</v>
      </c>
      <c r="C23" s="3" t="n">
        <f aca="false">ROUND(SUMIF(Transactions!$A$2:$A$121,A23&amp;"",Transactions!$L$2:$L$121),2)</f>
        <v>2466.7</v>
      </c>
      <c r="D23" s="3" t="n">
        <f aca="false">C23-B23</f>
        <v>0</v>
      </c>
      <c r="E23" s="2" t="str">
        <f aca="false">IF(ABS(D23)&lt;=0.01,"OK","CHECK")</f>
        <v>OK</v>
      </c>
    </row>
    <row r="24" customFormat="false" ht="15" hidden="false" customHeight="false" outlineLevel="0" collapsed="false">
      <c r="A24" s="2" t="s">
        <v>181</v>
      </c>
      <c r="B24" s="3" t="n">
        <v>1360.52</v>
      </c>
      <c r="C24" s="3" t="n">
        <f aca="false">ROUND(SUMIF(Transactions!$A$2:$A$121,A24&amp;"",Transactions!$L$2:$L$121),2)</f>
        <v>1360.52</v>
      </c>
      <c r="D24" s="3" t="n">
        <f aca="false">C24-B24</f>
        <v>0</v>
      </c>
      <c r="E24" s="2" t="str">
        <f aca="false">IF(ABS(D24)&lt;=0.01,"OK","CHECK")</f>
        <v>OK</v>
      </c>
    </row>
    <row r="25" customFormat="false" ht="15" hidden="false" customHeight="false" outlineLevel="0" collapsed="false">
      <c r="A25" s="2" t="s">
        <v>186</v>
      </c>
      <c r="B25" s="3" t="n">
        <v>1092.95</v>
      </c>
      <c r="C25" s="3" t="n">
        <f aca="false">ROUND(SUMIF(Transactions!$A$2:$A$121,A25&amp;"",Transactions!$L$2:$L$121),2)</f>
        <v>1092.95</v>
      </c>
      <c r="D25" s="3" t="n">
        <f aca="false">C25-B25</f>
        <v>0</v>
      </c>
      <c r="E25" s="2" t="str">
        <f aca="false">IF(ABS(D25)&lt;=0.01,"OK","CHECK")</f>
        <v>OK</v>
      </c>
    </row>
    <row r="26" customFormat="false" ht="15" hidden="false" customHeight="false" outlineLevel="0" collapsed="false">
      <c r="A26" s="2" t="s">
        <v>190</v>
      </c>
      <c r="B26" s="3" t="n">
        <v>1519.77</v>
      </c>
      <c r="C26" s="3" t="n">
        <f aca="false">ROUND(SUMIF(Transactions!$A$2:$A$121,A26&amp;"",Transactions!$L$2:$L$121),2)</f>
        <v>1519.77</v>
      </c>
      <c r="D26" s="3" t="n">
        <f aca="false">C26-B26</f>
        <v>0</v>
      </c>
      <c r="E26" s="2" t="str">
        <f aca="false">IF(ABS(D26)&lt;=0.01,"OK","CHECK")</f>
        <v>OK</v>
      </c>
    </row>
    <row r="27" customFormat="false" ht="15" hidden="false" customHeight="false" outlineLevel="0" collapsed="false">
      <c r="A27" s="2" t="s">
        <v>196</v>
      </c>
      <c r="B27" s="3" t="n">
        <v>1806.17</v>
      </c>
      <c r="C27" s="3" t="n">
        <f aca="false">ROUND(SUMIF(Transactions!$A$2:$A$121,A27&amp;"",Transactions!$L$2:$L$121),2)</f>
        <v>1806.17</v>
      </c>
      <c r="D27" s="3" t="n">
        <f aca="false">C27-B27</f>
        <v>0</v>
      </c>
      <c r="E27" s="2" t="str">
        <f aca="false">IF(ABS(D27)&lt;=0.01,"OK","CHECK")</f>
        <v>OK</v>
      </c>
    </row>
    <row r="28" customFormat="false" ht="15" hidden="false" customHeight="false" outlineLevel="0" collapsed="false">
      <c r="A28" s="7" t="s">
        <v>206</v>
      </c>
      <c r="B28" s="8" t="n">
        <f aca="false">SUM(B2:B27)</f>
        <v>42454.54</v>
      </c>
      <c r="C28" s="8" t="n">
        <f aca="false">SUM(C2:C27)</f>
        <v>42454.54</v>
      </c>
      <c r="D28" s="8" t="n">
        <f aca="false">C28-B28</f>
        <v>0</v>
      </c>
      <c r="E28" s="7" t="str">
        <f aca="false">IF(ABS(D28)&lt;=0.01,"OK","CHECK")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5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6" t="s">
        <v>207</v>
      </c>
      <c r="B1" s="6" t="s">
        <v>208</v>
      </c>
      <c r="C1" s="6" t="s">
        <v>209</v>
      </c>
      <c r="D1" s="6" t="s">
        <v>15</v>
      </c>
      <c r="E1" s="6" t="s">
        <v>205</v>
      </c>
    </row>
    <row r="2" customFormat="false" ht="15" hidden="false" customHeight="false" outlineLevel="0" collapsed="false">
      <c r="A2" s="2" t="s">
        <v>210</v>
      </c>
      <c r="B2" s="3" t="n">
        <v>42454.54</v>
      </c>
      <c r="C2" s="3" t="n">
        <f aca="false">ROUND(SUM(Transactions!$L$2:$L$121),2)</f>
        <v>42454.54</v>
      </c>
      <c r="D2" s="3" t="n">
        <f aca="false">C2-B2</f>
        <v>0</v>
      </c>
      <c r="E2" s="2" t="str">
        <f aca="false">IF(ABS(D2)&lt;=0.01,"OK","CHECK")</f>
        <v>OK</v>
      </c>
    </row>
    <row r="3" customFormat="false" ht="15" hidden="false" customHeight="false" outlineLevel="0" collapsed="false">
      <c r="A3" s="2" t="s">
        <v>211</v>
      </c>
      <c r="B3" s="3" t="n">
        <v>8915.45</v>
      </c>
      <c r="C3" s="3" t="n">
        <f aca="false">ROUND(C2*0.21,2)</f>
        <v>8915.45</v>
      </c>
      <c r="D3" s="3" t="n">
        <f aca="false">C3-B3</f>
        <v>0</v>
      </c>
      <c r="E3" s="2" t="str">
        <f aca="false">IF(ABS(D3)&lt;=0.02,"OK","CHECK")</f>
        <v>OK</v>
      </c>
    </row>
    <row r="4" customFormat="false" ht="15" hidden="false" customHeight="false" outlineLevel="0" collapsed="false">
      <c r="A4" s="2" t="s">
        <v>212</v>
      </c>
      <c r="B4" s="3" t="n">
        <v>51369.99</v>
      </c>
      <c r="C4" s="3" t="n">
        <f aca="false">C2+C3</f>
        <v>51369.99</v>
      </c>
      <c r="D4" s="3" t="n">
        <f aca="false">C4-B4</f>
        <v>0</v>
      </c>
      <c r="E4" s="2" t="str">
        <f aca="false">IF(ABS(D4)&lt;=0.03,"OK","CHECK")</f>
        <v>OK</v>
      </c>
    </row>
    <row r="5" customFormat="false" ht="15" hidden="false" customHeight="false" outlineLevel="0" collapsed="false">
      <c r="A5" s="2" t="s">
        <v>213</v>
      </c>
      <c r="B5" s="2" t="s">
        <v>214</v>
      </c>
      <c r="C5" s="3" t="n">
        <f aca="false">ROUND(SUMIF(Transactions!$F$2:$F$121,"Diesel",Transactions!$H$2:$H$121),2)</f>
        <v>26754.06</v>
      </c>
      <c r="D5" s="2"/>
      <c r="E5" s="2"/>
    </row>
    <row r="6" customFormat="false" ht="15" hidden="false" customHeight="false" outlineLevel="0" collapsed="false">
      <c r="A6" s="2" t="s">
        <v>215</v>
      </c>
      <c r="B6" s="2" t="s">
        <v>214</v>
      </c>
      <c r="C6" s="3" t="n">
        <f aca="false">ROUND(SUMIF(Transactions!$F$2:$F$121,"Diesel",Transactions!$L$2:$L$121),2)</f>
        <v>41568.74</v>
      </c>
      <c r="D6" s="2"/>
      <c r="E6" s="2"/>
    </row>
    <row r="7" customFormat="false" ht="15" hidden="false" customHeight="false" outlineLevel="0" collapsed="false">
      <c r="A7" s="2" t="s">
        <v>216</v>
      </c>
      <c r="B7" s="2" t="s">
        <v>214</v>
      </c>
      <c r="C7" s="3" t="n">
        <f aca="false">ROUND(SUMIF(Transactions!$F$2:$F$121,"AdBlue",Transactions!$H$2:$H$121),2)</f>
        <v>1429.3</v>
      </c>
      <c r="D7" s="2"/>
      <c r="E7" s="2"/>
    </row>
    <row r="8" customFormat="false" ht="15" hidden="false" customHeight="false" outlineLevel="0" collapsed="false">
      <c r="A8" s="2" t="s">
        <v>217</v>
      </c>
      <c r="B8" s="2" t="s">
        <v>214</v>
      </c>
      <c r="C8" s="3" t="n">
        <f aca="false">ROUND(SUMIF(Transactions!$F$2:$F$121,"AdBlue",Transactions!$L$2:$L$121),2)</f>
        <v>885.8</v>
      </c>
      <c r="D8" s="2"/>
      <c r="E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5"/>
  </cols>
  <sheetData>
    <row r="1" customFormat="false" ht="23.85" hidden="false" customHeight="false" outlineLevel="0" collapsed="false">
      <c r="A1" s="1" t="s">
        <v>218</v>
      </c>
      <c r="B1" s="1" t="s">
        <v>213</v>
      </c>
      <c r="C1" s="1" t="s">
        <v>215</v>
      </c>
      <c r="D1" s="1" t="s">
        <v>219</v>
      </c>
      <c r="E1" s="1" t="s">
        <v>220</v>
      </c>
    </row>
    <row r="2" customFormat="false" ht="15" hidden="false" customHeight="false" outlineLevel="0" collapsed="false">
      <c r="A2" s="2" t="s">
        <v>27</v>
      </c>
      <c r="B2" s="3" t="n">
        <f aca="false">ROUND(SUMPRODUCT((Transactions!$G$2:$G$121=A2)*(Transactions!$F$2:$F$121="Diesel")*Transactions!$H$2:$H$121),2)</f>
        <v>7397.92</v>
      </c>
      <c r="C2" s="3" t="n">
        <f aca="false">ROUND(SUMPRODUCT((Transactions!$G$2:$G$121=A2)*(Transactions!$F$2:$F$121="Diesel")*Transactions!$L$2:$L$121),2)</f>
        <v>11335.75</v>
      </c>
      <c r="D2" s="4" t="n">
        <f aca="false">C2/B2</f>
        <v>1.53228880550209</v>
      </c>
      <c r="E2" s="2" t="s">
        <v>221</v>
      </c>
    </row>
    <row r="3" customFormat="false" ht="15" hidden="false" customHeight="false" outlineLevel="0" collapsed="false">
      <c r="A3" s="2" t="s">
        <v>43</v>
      </c>
      <c r="B3" s="3" t="n">
        <f aca="false">ROUND(SUMPRODUCT((Transactions!$G$2:$G$121=A3)*(Transactions!$F$2:$F$121="Diesel")*Transactions!$H$2:$H$121),2)</f>
        <v>11647.58</v>
      </c>
      <c r="C3" s="3" t="n">
        <f aca="false">ROUND(SUMPRODUCT((Transactions!$G$2:$G$121=A3)*(Transactions!$F$2:$F$121="Diesel")*Transactions!$L$2:$L$121),2)</f>
        <v>18104.86</v>
      </c>
      <c r="D3" s="4" t="n">
        <f aca="false">C3/B3</f>
        <v>1.55438812182445</v>
      </c>
      <c r="E3" s="2" t="s">
        <v>221</v>
      </c>
    </row>
    <row r="4" customFormat="false" ht="15" hidden="false" customHeight="false" outlineLevel="0" collapsed="false">
      <c r="A4" s="2" t="s">
        <v>61</v>
      </c>
      <c r="B4" s="3" t="n">
        <f aca="false">ROUND(SUMPRODUCT((Transactions!$G$2:$G$121=A4)*(Transactions!$F$2:$F$121="Diesel")*Transactions!$H$2:$H$121),2)</f>
        <v>3337.62</v>
      </c>
      <c r="C4" s="3" t="n">
        <f aca="false">ROUND(SUMPRODUCT((Transactions!$G$2:$G$121=A4)*(Transactions!$F$2:$F$121="Diesel")*Transactions!$L$2:$L$121),2)</f>
        <v>5181.86</v>
      </c>
      <c r="D4" s="4" t="n">
        <f aca="false">C4/B4</f>
        <v>1.55256140603184</v>
      </c>
      <c r="E4" s="2" t="s">
        <v>222</v>
      </c>
    </row>
    <row r="5" customFormat="false" ht="15" hidden="false" customHeight="false" outlineLevel="0" collapsed="false">
      <c r="A5" s="2" t="s">
        <v>22</v>
      </c>
      <c r="B5" s="3" t="n">
        <f aca="false">ROUND(SUMPRODUCT((Transactions!$G$2:$G$121=A5)*(Transactions!$F$2:$F$121="Diesel")*Transactions!$H$2:$H$121),2)</f>
        <v>2995.91</v>
      </c>
      <c r="C5" s="3" t="n">
        <f aca="false">ROUND(SUMPRODUCT((Transactions!$G$2:$G$121=A5)*(Transactions!$F$2:$F$121="Diesel")*Transactions!$L$2:$L$121),2)</f>
        <v>4776.71</v>
      </c>
      <c r="D5" s="4" t="n">
        <f aca="false">C5/B5</f>
        <v>1.59441037948403</v>
      </c>
      <c r="E5" s="2" t="s">
        <v>223</v>
      </c>
    </row>
    <row r="6" customFormat="false" ht="15" hidden="false" customHeight="false" outlineLevel="0" collapsed="false">
      <c r="A6" s="2" t="s">
        <v>120</v>
      </c>
      <c r="B6" s="3" t="n">
        <f aca="false">ROUND(SUMPRODUCT((Transactions!$G$2:$G$121=A6)*(Transactions!$F$2:$F$121="Diesel")*Transactions!$H$2:$H$121),2)</f>
        <v>635.01</v>
      </c>
      <c r="C6" s="3" t="n">
        <f aca="false">ROUND(SUMPRODUCT((Transactions!$G$2:$G$121=A6)*(Transactions!$F$2:$F$121="Diesel")*Transactions!$L$2:$L$121),2)</f>
        <v>958.43</v>
      </c>
      <c r="D6" s="4" t="n">
        <f aca="false">C6/B6</f>
        <v>1.50931481393994</v>
      </c>
      <c r="E6" s="2" t="s">
        <v>223</v>
      </c>
    </row>
    <row r="7" customFormat="false" ht="15" hidden="false" customHeight="false" outlineLevel="0" collapsed="false">
      <c r="A7" s="2" t="s">
        <v>172</v>
      </c>
      <c r="B7" s="3" t="n">
        <f aca="false">ROUND(SUMPRODUCT((Transactions!$G$2:$G$121=A7)*(Transactions!$F$2:$F$121="Diesel")*Transactions!$H$2:$H$121),2)</f>
        <v>740.02</v>
      </c>
      <c r="C7" s="3" t="n">
        <f aca="false">ROUND(SUMPRODUCT((Transactions!$G$2:$G$121=A7)*(Transactions!$F$2:$F$121="Diesel")*Transactions!$L$2:$L$121),2)</f>
        <v>1211.13</v>
      </c>
      <c r="D7" s="4" t="n">
        <f aca="false">C7/B7</f>
        <v>1.63661792924516</v>
      </c>
      <c r="E7" s="2" t="s">
        <v>223</v>
      </c>
    </row>
    <row r="8" customFormat="false" ht="15" hidden="false" customHeight="false" outlineLevel="0" collapsed="false">
      <c r="A8" s="7" t="s">
        <v>206</v>
      </c>
      <c r="B8" s="8" t="n">
        <f aca="false">SUM(B2:B7)</f>
        <v>26754.06</v>
      </c>
      <c r="C8" s="8" t="n">
        <f aca="false">SUM(C2:C7)</f>
        <v>41568.74</v>
      </c>
      <c r="D8" s="9" t="n">
        <f aca="false">C8/B8</f>
        <v>1.55373576944957</v>
      </c>
      <c r="E8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2026-06-11T05:15:46Z</dcterms:created>
  <dc:creator>openpyxl</dc:creator>
  <dc:description/>
  <dc:language>en-US</dc:language>
  <cp:lastModifiedBy/>
  <dcterms:modified xsi:type="dcterms:W3CDTF">2026-06-11T05:15:46Z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