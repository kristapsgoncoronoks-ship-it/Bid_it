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  <sheet name="Card totals check" sheetId="2" state="visible" r:id="rId4"/>
    <sheet name="Invoice totals check" sheetId="3" state="visible" r:id="rId5"/>
  </sheets>
  <definedNames>
    <definedName function="false" hidden="true" localSheetId="0" name="_xlnm._FilterDatabase" vbProcedure="false">Transactions!$A$1:$M$67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<sst xmlns="http://schemas.openxmlformats.org/spreadsheetml/2006/main" count="484" uniqueCount="140">
  <si>
    <t xml:space="preserve">Invoice</t>
  </si>
  <si>
    <t xml:space="preserve">Card</t>
  </si>
  <si>
    <t xml:space="preserve">Date</t>
  </si>
  <si>
    <t xml:space="preserve">Time</t>
  </si>
  <si>
    <t xml:space="preserve">Product</t>
  </si>
  <si>
    <t xml:space="preserve">Station</t>
  </si>
  <si>
    <t xml:space="preserve">Net price EUR/L</t>
  </si>
  <si>
    <t xml:space="preserve">Quantity L</t>
  </si>
  <si>
    <t xml:space="preserve">VAT %</t>
  </si>
  <si>
    <t xml:space="preserve">Amount EUR (invoice)</t>
  </si>
  <si>
    <t xml:space="preserve">Calc: Price x Qty</t>
  </si>
  <si>
    <t xml:space="preserve">Diff EUR</t>
  </si>
  <si>
    <t xml:space="preserve">Check</t>
  </si>
  <si>
    <t xml:space="preserve">BEOI00118939/DE</t>
  </si>
  <si>
    <t xml:space="preserve">11525-0 042</t>
  </si>
  <si>
    <t xml:space="preserve">18/05/26</t>
  </si>
  <si>
    <t xml:space="preserve">06:30</t>
  </si>
  <si>
    <t xml:space="preserve">DIESEL</t>
  </si>
  <si>
    <t xml:space="preserve">Zeebrugge</t>
  </si>
  <si>
    <t xml:space="preserve">20/05/26</t>
  </si>
  <si>
    <t xml:space="preserve">15:54</t>
  </si>
  <si>
    <t xml:space="preserve">11541-0 044</t>
  </si>
  <si>
    <t xml:space="preserve">25/05/26</t>
  </si>
  <si>
    <t xml:space="preserve">13:36</t>
  </si>
  <si>
    <t xml:space="preserve">27/05/26</t>
  </si>
  <si>
    <t xml:space="preserve">17:22</t>
  </si>
  <si>
    <t xml:space="preserve">11558-0 045</t>
  </si>
  <si>
    <t xml:space="preserve">13:05</t>
  </si>
  <si>
    <t xml:space="preserve">Waregem</t>
  </si>
  <si>
    <t xml:space="preserve">09:00</t>
  </si>
  <si>
    <t xml:space="preserve">11657-0 010</t>
  </si>
  <si>
    <t xml:space="preserve">13:45</t>
  </si>
  <si>
    <t xml:space="preserve">11665-0 011</t>
  </si>
  <si>
    <t xml:space="preserve">09:21</t>
  </si>
  <si>
    <t xml:space="preserve">11673-0 012</t>
  </si>
  <si>
    <t xml:space="preserve">30/05/26</t>
  </si>
  <si>
    <t xml:space="preserve">17:49</t>
  </si>
  <si>
    <t xml:space="preserve">Tournai</t>
  </si>
  <si>
    <t xml:space="preserve">11715-0 016</t>
  </si>
  <si>
    <t xml:space="preserve">11:28</t>
  </si>
  <si>
    <t xml:space="preserve">AdBlue</t>
  </si>
  <si>
    <t xml:space="preserve">11:21</t>
  </si>
  <si>
    <t xml:space="preserve">13:02</t>
  </si>
  <si>
    <t xml:space="preserve">11731-0 018</t>
  </si>
  <si>
    <t xml:space="preserve">19/05/26</t>
  </si>
  <si>
    <t xml:space="preserve">16:18</t>
  </si>
  <si>
    <t xml:space="preserve">16:09</t>
  </si>
  <si>
    <t xml:space="preserve">11756-0 020</t>
  </si>
  <si>
    <t xml:space="preserve">26/05/26</t>
  </si>
  <si>
    <t xml:space="preserve">16:32</t>
  </si>
  <si>
    <t xml:space="preserve">Bierset_Liège Air</t>
  </si>
  <si>
    <t xml:space="preserve">16:22</t>
  </si>
  <si>
    <t xml:space="preserve">11764-0 021</t>
  </si>
  <si>
    <t xml:space="preserve">29/05/26</t>
  </si>
  <si>
    <t xml:space="preserve">14:12</t>
  </si>
  <si>
    <t xml:space="preserve">23/05/26</t>
  </si>
  <si>
    <t xml:space="preserve">17:53</t>
  </si>
  <si>
    <t xml:space="preserve">14:15</t>
  </si>
  <si>
    <t xml:space="preserve">11772-0 022</t>
  </si>
  <si>
    <t xml:space="preserve">17:28</t>
  </si>
  <si>
    <t xml:space="preserve">12:43</t>
  </si>
  <si>
    <t xml:space="preserve">12:50</t>
  </si>
  <si>
    <t xml:space="preserve">11780-0 023</t>
  </si>
  <si>
    <t xml:space="preserve">06:59</t>
  </si>
  <si>
    <t xml:space="preserve">11806-0 024</t>
  </si>
  <si>
    <t xml:space="preserve">10:00</t>
  </si>
  <si>
    <t xml:space="preserve">13:52</t>
  </si>
  <si>
    <t xml:space="preserve">11814-0 025</t>
  </si>
  <si>
    <t xml:space="preserve">21/05/26</t>
  </si>
  <si>
    <t xml:space="preserve">18:46</t>
  </si>
  <si>
    <t xml:space="preserve">18:34</t>
  </si>
  <si>
    <t xml:space="preserve">11822-0 026</t>
  </si>
  <si>
    <t xml:space="preserve">07:50</t>
  </si>
  <si>
    <t xml:space="preserve">07:55</t>
  </si>
  <si>
    <t xml:space="preserve">16/05/26</t>
  </si>
  <si>
    <t xml:space="preserve">04:49</t>
  </si>
  <si>
    <t xml:space="preserve">07:41</t>
  </si>
  <si>
    <t xml:space="preserve">11830-0 027</t>
  </si>
  <si>
    <t xml:space="preserve">12:23</t>
  </si>
  <si>
    <t xml:space="preserve">28/05/26</t>
  </si>
  <si>
    <t xml:space="preserve">13:42</t>
  </si>
  <si>
    <t xml:space="preserve">11863-0 032</t>
  </si>
  <si>
    <t xml:space="preserve">22/05/26</t>
  </si>
  <si>
    <t xml:space="preserve">10:24</t>
  </si>
  <si>
    <t xml:space="preserve">15:44</t>
  </si>
  <si>
    <t xml:space="preserve">10:14</t>
  </si>
  <si>
    <t xml:space="preserve">16:00</t>
  </si>
  <si>
    <t xml:space="preserve">11871-0 033</t>
  </si>
  <si>
    <t xml:space="preserve">12:41</t>
  </si>
  <si>
    <t xml:space="preserve">11889-0 034</t>
  </si>
  <si>
    <t xml:space="preserve">09:45</t>
  </si>
  <si>
    <t xml:space="preserve">09:12</t>
  </si>
  <si>
    <t xml:space="preserve">09:24</t>
  </si>
  <si>
    <t xml:space="preserve">11897-0 035</t>
  </si>
  <si>
    <t xml:space="preserve">12:58</t>
  </si>
  <si>
    <t xml:space="preserve">11947-0 038</t>
  </si>
  <si>
    <t xml:space="preserve">12:57</t>
  </si>
  <si>
    <t xml:space="preserve">Zelzate</t>
  </si>
  <si>
    <t xml:space="preserve">11954-0 039</t>
  </si>
  <si>
    <t xml:space="preserve">21:19</t>
  </si>
  <si>
    <t xml:space="preserve">13:38</t>
  </si>
  <si>
    <t xml:space="preserve">11962-0 040</t>
  </si>
  <si>
    <t xml:space="preserve">16:38</t>
  </si>
  <si>
    <t xml:space="preserve">10:38</t>
  </si>
  <si>
    <t xml:space="preserve">16:29</t>
  </si>
  <si>
    <t xml:space="preserve">12127-0 049</t>
  </si>
  <si>
    <t xml:space="preserve">Liège Herstal</t>
  </si>
  <si>
    <t xml:space="preserve">19:42</t>
  </si>
  <si>
    <t xml:space="preserve">08:36</t>
  </si>
  <si>
    <t xml:space="preserve">DEVR00473179</t>
  </si>
  <si>
    <t xml:space="preserve">Lübeck</t>
  </si>
  <si>
    <t xml:space="preserve">19:40</t>
  </si>
  <si>
    <t xml:space="preserve">08:31</t>
  </si>
  <si>
    <t xml:space="preserve">19:31</t>
  </si>
  <si>
    <t xml:space="preserve">12036-0 051</t>
  </si>
  <si>
    <t xml:space="preserve">16:58</t>
  </si>
  <si>
    <t xml:space="preserve">18:00</t>
  </si>
  <si>
    <t xml:space="preserve">16:54</t>
  </si>
  <si>
    <t xml:space="preserve">14:07</t>
  </si>
  <si>
    <t xml:space="preserve">14:10</t>
  </si>
  <si>
    <t xml:space="preserve">17:56</t>
  </si>
  <si>
    <t xml:space="preserve">09:40</t>
  </si>
  <si>
    <t xml:space="preserve">Stated card total EUR</t>
  </si>
  <si>
    <t xml:space="preserve">Calc: sum of transactions</t>
  </si>
  <si>
    <t xml:space="preserve">Check item</t>
  </si>
  <si>
    <t xml:space="preserve">Invoice states</t>
  </si>
  <si>
    <t xml:space="preserve">Calculated from transactions</t>
  </si>
  <si>
    <t xml:space="preserve">Diff</t>
  </si>
  <si>
    <t xml:space="preserve">BE invoice BEOI00118939/DE — AdBlue litres</t>
  </si>
  <si>
    <t xml:space="preserve">BE invoice BEOI00118939/DE — DIESEL litres</t>
  </si>
  <si>
    <t xml:space="preserve">BE invoice BEOI00118939/DE — Total net EUR</t>
  </si>
  <si>
    <t xml:space="preserve">BE invoice BEOI00118939/DE — VAT 21% EUR</t>
  </si>
  <si>
    <t xml:space="preserve">BE invoice BEOI00118939/DE — Total to pay EUR</t>
  </si>
  <si>
    <t xml:space="preserve">DE invoice DEVR00473179 — AdBlue litres</t>
  </si>
  <si>
    <t xml:space="preserve">DE invoice DEVR00473179 — DIESEL litres</t>
  </si>
  <si>
    <t xml:space="preserve">DE invoice DEVR00473179 — Total net EUR</t>
  </si>
  <si>
    <t xml:space="preserve">DE invoice DEVR00473179 — VAT 19% EUR</t>
  </si>
  <si>
    <t xml:space="preserve">DE invoice DEVR00473179 — Total debit EUR</t>
  </si>
  <si>
    <t xml:space="preserve">GRAND TOTAL both invoices EUR</t>
  </si>
  <si>
    <t xml:space="preserve">Note: VAT recomputed as net x rate differs by 1-3 cents because Q8 rounds VAT at line/card level before summing. All 66 transaction amounts, all 26 card totals, litre totals and net totals reconcile exactly.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</si>
</sst>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7"/>
    <col collapsed="false" customWidth="true" hidden="false" outlineLevel="0" max="5" min="5" style="1" width="9"/>
    <col collapsed="false" customWidth="true" hidden="false" outlineLevel="0" max="6" min="6" style="1" width="16"/>
    <col collapsed="false" customWidth="true" hidden="false" outlineLevel="0" max="7" min="7" style="1" width="13"/>
    <col collapsed="false" customWidth="true" hidden="false" outlineLevel="0" max="8" min="8" style="1" width="11"/>
    <col collapsed="false" customWidth="true" hidden="false" outlineLevel="0" max="9" min="9" style="1" width="7"/>
    <col collapsed="false" customWidth="true" hidden="false" outlineLevel="0" max="10" min="10" style="1" width="15"/>
    <col collapsed="false" customWidth="true" hidden="false" outlineLevel="0" max="11" min="11" style="1" width="14"/>
    <col collapsed="false" customWidth="true" hidden="false" outlineLevel="0" max="12" min="12" style="1" width="9"/>
    <col collapsed="false" customWidth="true" hidden="false" outlineLevel="0" max="13" min="13" style="1" width="8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true" outlineLevel="0" collapsed="false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 t="n">
        <v>1.7488</v>
      </c>
      <c r="H2" s="5" t="n">
        <v>400.42</v>
      </c>
      <c r="I2" s="3" t="n">
        <v>21</v>
      </c>
      <c r="J2" s="5" t="n">
        <v>700.25</v>
      </c>
      <c r="K2" s="5" t="n">
        <f aca="false">ROUND(G2*H2,2)</f>
        <v>700.25</v>
      </c>
      <c r="L2" s="5" t="n">
        <f aca="false">K2-J2</f>
        <v>0</v>
      </c>
      <c r="M2" s="3" t="str">
        <f aca="false">IF(ABS(L2)&lt;=0.01,"OK","CHECK")</f>
        <v>OK</v>
      </c>
    </row>
    <row r="3" customFormat="false" ht="15" hidden="false" customHeight="true" outlineLevel="0" collapsed="false">
      <c r="A3" s="3" t="s">
        <v>13</v>
      </c>
      <c r="B3" s="3" t="s">
        <v>14</v>
      </c>
      <c r="C3" s="3" t="s">
        <v>19</v>
      </c>
      <c r="D3" s="3" t="s">
        <v>20</v>
      </c>
      <c r="E3" s="3" t="s">
        <v>17</v>
      </c>
      <c r="F3" s="3" t="s">
        <v>18</v>
      </c>
      <c r="G3" s="4" t="n">
        <v>1.8116</v>
      </c>
      <c r="H3" s="5" t="n">
        <v>430</v>
      </c>
      <c r="I3" s="3" t="n">
        <v>21</v>
      </c>
      <c r="J3" s="5" t="n">
        <v>778.99</v>
      </c>
      <c r="K3" s="5" t="n">
        <f aca="false">ROUND(G3*H3,2)</f>
        <v>778.99</v>
      </c>
      <c r="L3" s="5" t="n">
        <f aca="false">K3-J3</f>
        <v>0</v>
      </c>
      <c r="M3" s="3" t="str">
        <f aca="false">IF(ABS(L3)&lt;=0.01,"OK","CHECK")</f>
        <v>OK</v>
      </c>
    </row>
    <row r="4" customFormat="false" ht="15" hidden="false" customHeight="true" outlineLevel="0" collapsed="false">
      <c r="A4" s="3" t="s">
        <v>13</v>
      </c>
      <c r="B4" s="3" t="s">
        <v>21</v>
      </c>
      <c r="C4" s="3" t="s">
        <v>22</v>
      </c>
      <c r="D4" s="3" t="s">
        <v>23</v>
      </c>
      <c r="E4" s="3" t="s">
        <v>17</v>
      </c>
      <c r="F4" s="3" t="s">
        <v>18</v>
      </c>
      <c r="G4" s="4" t="n">
        <v>1.7694</v>
      </c>
      <c r="H4" s="5" t="n">
        <v>627.36</v>
      </c>
      <c r="I4" s="3" t="n">
        <v>21</v>
      </c>
      <c r="J4" s="5" t="n">
        <v>1110.05</v>
      </c>
      <c r="K4" s="5" t="n">
        <f aca="false">ROUND(G4*H4,2)</f>
        <v>1110.05</v>
      </c>
      <c r="L4" s="5" t="n">
        <f aca="false">K4-J4</f>
        <v>0</v>
      </c>
      <c r="M4" s="3" t="str">
        <f aca="false">IF(ABS(L4)&lt;=0.01,"OK","CHECK")</f>
        <v>OK</v>
      </c>
    </row>
    <row r="5" customFormat="false" ht="15" hidden="false" customHeight="true" outlineLevel="0" collapsed="false">
      <c r="A5" s="3" t="s">
        <v>13</v>
      </c>
      <c r="B5" s="3" t="s">
        <v>21</v>
      </c>
      <c r="C5" s="3" t="s">
        <v>24</v>
      </c>
      <c r="D5" s="3" t="s">
        <v>25</v>
      </c>
      <c r="E5" s="3" t="s">
        <v>17</v>
      </c>
      <c r="F5" s="3" t="s">
        <v>18</v>
      </c>
      <c r="G5" s="4" t="n">
        <v>1.7694</v>
      </c>
      <c r="H5" s="5" t="n">
        <v>470.06</v>
      </c>
      <c r="I5" s="3" t="n">
        <v>21</v>
      </c>
      <c r="J5" s="5" t="n">
        <v>831.72</v>
      </c>
      <c r="K5" s="5" t="n">
        <f aca="false">ROUND(G5*H5,2)</f>
        <v>831.72</v>
      </c>
      <c r="L5" s="5" t="n">
        <f aca="false">K5-J5</f>
        <v>0</v>
      </c>
      <c r="M5" s="3" t="str">
        <f aca="false">IF(ABS(L5)&lt;=0.01,"OK","CHECK")</f>
        <v>OK</v>
      </c>
    </row>
    <row r="6" customFormat="false" ht="15" hidden="false" customHeight="true" outlineLevel="0" collapsed="false">
      <c r="A6" s="3" t="s">
        <v>13</v>
      </c>
      <c r="B6" s="3" t="s">
        <v>26</v>
      </c>
      <c r="C6" s="3" t="s">
        <v>19</v>
      </c>
      <c r="D6" s="3" t="s">
        <v>27</v>
      </c>
      <c r="E6" s="3" t="s">
        <v>17</v>
      </c>
      <c r="F6" s="3" t="s">
        <v>28</v>
      </c>
      <c r="G6" s="4" t="n">
        <v>1.8116</v>
      </c>
      <c r="H6" s="5" t="n">
        <v>830.04</v>
      </c>
      <c r="I6" s="3" t="n">
        <v>21</v>
      </c>
      <c r="J6" s="5" t="n">
        <v>1503.7</v>
      </c>
      <c r="K6" s="5" t="n">
        <f aca="false">ROUND(G6*H6,2)</f>
        <v>1503.7</v>
      </c>
      <c r="L6" s="5" t="n">
        <f aca="false">K6-J6</f>
        <v>0</v>
      </c>
      <c r="M6" s="3" t="str">
        <f aca="false">IF(ABS(L6)&lt;=0.01,"OK","CHECK")</f>
        <v>OK</v>
      </c>
    </row>
    <row r="7" customFormat="false" ht="15" hidden="false" customHeight="true" outlineLevel="0" collapsed="false">
      <c r="A7" s="3" t="s">
        <v>13</v>
      </c>
      <c r="B7" s="3" t="s">
        <v>26</v>
      </c>
      <c r="C7" s="3" t="s">
        <v>24</v>
      </c>
      <c r="D7" s="3" t="s">
        <v>29</v>
      </c>
      <c r="E7" s="3" t="s">
        <v>17</v>
      </c>
      <c r="F7" s="3" t="s">
        <v>28</v>
      </c>
      <c r="G7" s="4" t="n">
        <v>1.7694</v>
      </c>
      <c r="H7" s="5" t="n">
        <v>510</v>
      </c>
      <c r="I7" s="3" t="n">
        <v>21</v>
      </c>
      <c r="J7" s="5" t="n">
        <v>902.39</v>
      </c>
      <c r="K7" s="5" t="n">
        <f aca="false">ROUND(G7*H7,2)</f>
        <v>902.39</v>
      </c>
      <c r="L7" s="5" t="n">
        <f aca="false">K7-J7</f>
        <v>0</v>
      </c>
      <c r="M7" s="3" t="str">
        <f aca="false">IF(ABS(L7)&lt;=0.01,"OK","CHECK")</f>
        <v>OK</v>
      </c>
    </row>
    <row r="8" customFormat="false" ht="15" hidden="false" customHeight="true" outlineLevel="0" collapsed="false">
      <c r="A8" s="3" t="s">
        <v>13</v>
      </c>
      <c r="B8" s="3" t="s">
        <v>30</v>
      </c>
      <c r="C8" s="3" t="s">
        <v>19</v>
      </c>
      <c r="D8" s="3" t="s">
        <v>31</v>
      </c>
      <c r="E8" s="3" t="s">
        <v>17</v>
      </c>
      <c r="F8" s="3" t="s">
        <v>18</v>
      </c>
      <c r="G8" s="4" t="n">
        <v>1.8116</v>
      </c>
      <c r="H8" s="5" t="n">
        <v>340</v>
      </c>
      <c r="I8" s="3" t="n">
        <v>21</v>
      </c>
      <c r="J8" s="5" t="n">
        <v>615.94</v>
      </c>
      <c r="K8" s="5" t="n">
        <f aca="false">ROUND(G8*H8,2)</f>
        <v>615.94</v>
      </c>
      <c r="L8" s="5" t="n">
        <f aca="false">K8-J8</f>
        <v>0</v>
      </c>
      <c r="M8" s="3" t="str">
        <f aca="false">IF(ABS(L8)&lt;=0.01,"OK","CHECK")</f>
        <v>OK</v>
      </c>
    </row>
    <row r="9" customFormat="false" ht="15" hidden="false" customHeight="true" outlineLevel="0" collapsed="false">
      <c r="A9" s="3" t="s">
        <v>13</v>
      </c>
      <c r="B9" s="3" t="s">
        <v>32</v>
      </c>
      <c r="C9" s="3" t="s">
        <v>19</v>
      </c>
      <c r="D9" s="3" t="s">
        <v>33</v>
      </c>
      <c r="E9" s="3" t="s">
        <v>17</v>
      </c>
      <c r="F9" s="3" t="s">
        <v>18</v>
      </c>
      <c r="G9" s="4" t="n">
        <v>1.8116</v>
      </c>
      <c r="H9" s="5" t="n">
        <v>800.16</v>
      </c>
      <c r="I9" s="3" t="n">
        <v>21</v>
      </c>
      <c r="J9" s="5" t="n">
        <v>1449.57</v>
      </c>
      <c r="K9" s="5" t="n">
        <f aca="false">ROUND(G9*H9,2)</f>
        <v>1449.57</v>
      </c>
      <c r="L9" s="5" t="n">
        <f aca="false">K9-J9</f>
        <v>0</v>
      </c>
      <c r="M9" s="3" t="str">
        <f aca="false">IF(ABS(L9)&lt;=0.01,"OK","CHECK")</f>
        <v>OK</v>
      </c>
    </row>
    <row r="10" customFormat="false" ht="15" hidden="false" customHeight="true" outlineLevel="0" collapsed="false">
      <c r="A10" s="3" t="s">
        <v>13</v>
      </c>
      <c r="B10" s="3" t="s">
        <v>34</v>
      </c>
      <c r="C10" s="3" t="s">
        <v>35</v>
      </c>
      <c r="D10" s="3" t="s">
        <v>36</v>
      </c>
      <c r="E10" s="3" t="s">
        <v>17</v>
      </c>
      <c r="F10" s="3" t="s">
        <v>37</v>
      </c>
      <c r="G10" s="4" t="n">
        <v>1.6843</v>
      </c>
      <c r="H10" s="5" t="n">
        <v>222.63</v>
      </c>
      <c r="I10" s="3" t="n">
        <v>21</v>
      </c>
      <c r="J10" s="5" t="n">
        <v>374.98</v>
      </c>
      <c r="K10" s="5" t="n">
        <f aca="false">ROUND(G10*H10,2)</f>
        <v>374.98</v>
      </c>
      <c r="L10" s="5" t="n">
        <f aca="false">K10-J10</f>
        <v>0</v>
      </c>
      <c r="M10" s="3" t="str">
        <f aca="false">IF(ABS(L10)&lt;=0.01,"OK","CHECK")</f>
        <v>OK</v>
      </c>
    </row>
    <row r="11" customFormat="false" ht="15" hidden="false" customHeight="true" outlineLevel="0" collapsed="false">
      <c r="A11" s="3" t="s">
        <v>13</v>
      </c>
      <c r="B11" s="3" t="s">
        <v>38</v>
      </c>
      <c r="C11" s="3" t="s">
        <v>19</v>
      </c>
      <c r="D11" s="3" t="s">
        <v>39</v>
      </c>
      <c r="E11" s="3" t="s">
        <v>40</v>
      </c>
      <c r="F11" s="3" t="s">
        <v>18</v>
      </c>
      <c r="G11" s="4" t="n">
        <v>1.312</v>
      </c>
      <c r="H11" s="5" t="n">
        <v>50.56</v>
      </c>
      <c r="I11" s="3" t="n">
        <v>21</v>
      </c>
      <c r="J11" s="5" t="n">
        <v>66.33</v>
      </c>
      <c r="K11" s="5" t="n">
        <f aca="false">ROUND(G11*H11,2)</f>
        <v>66.33</v>
      </c>
      <c r="L11" s="5" t="n">
        <f aca="false">K11-J11</f>
        <v>0</v>
      </c>
      <c r="M11" s="3" t="str">
        <f aca="false">IF(ABS(L11)&lt;=0.01,"OK","CHECK")</f>
        <v>OK</v>
      </c>
    </row>
    <row r="12" customFormat="false" ht="15" hidden="false" customHeight="true" outlineLevel="0" collapsed="false">
      <c r="A12" s="3" t="s">
        <v>13</v>
      </c>
      <c r="B12" s="3" t="s">
        <v>38</v>
      </c>
      <c r="C12" s="3" t="s">
        <v>19</v>
      </c>
      <c r="D12" s="3" t="s">
        <v>41</v>
      </c>
      <c r="E12" s="3" t="s">
        <v>17</v>
      </c>
      <c r="F12" s="3" t="s">
        <v>18</v>
      </c>
      <c r="G12" s="4" t="n">
        <v>1.8116</v>
      </c>
      <c r="H12" s="5" t="n">
        <v>443.5</v>
      </c>
      <c r="I12" s="3" t="n">
        <v>21</v>
      </c>
      <c r="J12" s="5" t="n">
        <v>803.44</v>
      </c>
      <c r="K12" s="5" t="n">
        <f aca="false">ROUND(G12*H12,2)</f>
        <v>803.44</v>
      </c>
      <c r="L12" s="5" t="n">
        <f aca="false">K12-J12</f>
        <v>0</v>
      </c>
      <c r="M12" s="3" t="str">
        <f aca="false">IF(ABS(L12)&lt;=0.01,"OK","CHECK")</f>
        <v>OK</v>
      </c>
    </row>
    <row r="13" customFormat="false" ht="15" hidden="false" customHeight="true" outlineLevel="0" collapsed="false">
      <c r="A13" s="3" t="s">
        <v>13</v>
      </c>
      <c r="B13" s="3" t="s">
        <v>38</v>
      </c>
      <c r="C13" s="3" t="s">
        <v>24</v>
      </c>
      <c r="D13" s="3" t="s">
        <v>42</v>
      </c>
      <c r="E13" s="3" t="s">
        <v>17</v>
      </c>
      <c r="F13" s="3" t="s">
        <v>18</v>
      </c>
      <c r="G13" s="4" t="n">
        <v>1.7694</v>
      </c>
      <c r="H13" s="5" t="n">
        <v>309.8</v>
      </c>
      <c r="I13" s="3" t="n">
        <v>21</v>
      </c>
      <c r="J13" s="5" t="n">
        <v>548.16</v>
      </c>
      <c r="K13" s="5" t="n">
        <f aca="false">ROUND(G13*H13,2)</f>
        <v>548.16</v>
      </c>
      <c r="L13" s="5" t="n">
        <f aca="false">K13-J13</f>
        <v>0</v>
      </c>
      <c r="M13" s="3" t="str">
        <f aca="false">IF(ABS(L13)&lt;=0.01,"OK","CHECK")</f>
        <v>OK</v>
      </c>
    </row>
    <row r="14" customFormat="false" ht="15" hidden="false" customHeight="true" outlineLevel="0" collapsed="false">
      <c r="A14" s="3" t="s">
        <v>13</v>
      </c>
      <c r="B14" s="3" t="s">
        <v>43</v>
      </c>
      <c r="C14" s="3" t="s">
        <v>44</v>
      </c>
      <c r="D14" s="3" t="s">
        <v>45</v>
      </c>
      <c r="E14" s="3" t="s">
        <v>40</v>
      </c>
      <c r="F14" s="3" t="s">
        <v>18</v>
      </c>
      <c r="G14" s="4" t="n">
        <v>1.312</v>
      </c>
      <c r="H14" s="5" t="n">
        <v>20.09</v>
      </c>
      <c r="I14" s="3" t="n">
        <v>21</v>
      </c>
      <c r="J14" s="5" t="n">
        <v>26.36</v>
      </c>
      <c r="K14" s="5" t="n">
        <f aca="false">ROUND(G14*H14,2)</f>
        <v>26.36</v>
      </c>
      <c r="L14" s="5" t="n">
        <f aca="false">K14-J14</f>
        <v>0</v>
      </c>
      <c r="M14" s="3" t="str">
        <f aca="false">IF(ABS(L14)&lt;=0.01,"OK","CHECK")</f>
        <v>OK</v>
      </c>
    </row>
    <row r="15" customFormat="false" ht="15" hidden="false" customHeight="true" outlineLevel="0" collapsed="false">
      <c r="A15" s="3" t="s">
        <v>13</v>
      </c>
      <c r="B15" s="3" t="s">
        <v>43</v>
      </c>
      <c r="C15" s="3" t="s">
        <v>44</v>
      </c>
      <c r="D15" s="3" t="s">
        <v>46</v>
      </c>
      <c r="E15" s="3" t="s">
        <v>17</v>
      </c>
      <c r="F15" s="3" t="s">
        <v>18</v>
      </c>
      <c r="G15" s="4" t="n">
        <v>1.7488</v>
      </c>
      <c r="H15" s="5" t="n">
        <v>600.03</v>
      </c>
      <c r="I15" s="3" t="n">
        <v>21</v>
      </c>
      <c r="J15" s="5" t="n">
        <v>1049.33</v>
      </c>
      <c r="K15" s="5" t="n">
        <f aca="false">ROUND(G15*H15,2)</f>
        <v>1049.33</v>
      </c>
      <c r="L15" s="5" t="n">
        <f aca="false">K15-J15</f>
        <v>0</v>
      </c>
      <c r="M15" s="3" t="str">
        <f aca="false">IF(ABS(L15)&lt;=0.01,"OK","CHECK")</f>
        <v>OK</v>
      </c>
    </row>
    <row r="16" customFormat="false" ht="15" hidden="false" customHeight="true" outlineLevel="0" collapsed="false">
      <c r="A16" s="3" t="s">
        <v>13</v>
      </c>
      <c r="B16" s="3" t="s">
        <v>47</v>
      </c>
      <c r="C16" s="3" t="s">
        <v>48</v>
      </c>
      <c r="D16" s="3" t="s">
        <v>49</v>
      </c>
      <c r="E16" s="3" t="s">
        <v>40</v>
      </c>
      <c r="F16" s="3" t="s">
        <v>50</v>
      </c>
      <c r="G16" s="4" t="n">
        <v>1.312</v>
      </c>
      <c r="H16" s="5" t="n">
        <v>45.14</v>
      </c>
      <c r="I16" s="3" t="n">
        <v>21</v>
      </c>
      <c r="J16" s="5" t="n">
        <v>59.22</v>
      </c>
      <c r="K16" s="5" t="n">
        <f aca="false">ROUND(G16*H16,2)</f>
        <v>59.22</v>
      </c>
      <c r="L16" s="5" t="n">
        <f aca="false">K16-J16</f>
        <v>0</v>
      </c>
      <c r="M16" s="3" t="str">
        <f aca="false">IF(ABS(L16)&lt;=0.01,"OK","CHECK")</f>
        <v>OK</v>
      </c>
    </row>
    <row r="17" customFormat="false" ht="15" hidden="false" customHeight="true" outlineLevel="0" collapsed="false">
      <c r="A17" s="3" t="s">
        <v>13</v>
      </c>
      <c r="B17" s="3" t="s">
        <v>47</v>
      </c>
      <c r="C17" s="3" t="s">
        <v>48</v>
      </c>
      <c r="D17" s="3" t="s">
        <v>51</v>
      </c>
      <c r="E17" s="3" t="s">
        <v>17</v>
      </c>
      <c r="F17" s="3" t="s">
        <v>50</v>
      </c>
      <c r="G17" s="4" t="n">
        <v>1.7694</v>
      </c>
      <c r="H17" s="5" t="n">
        <v>396.64</v>
      </c>
      <c r="I17" s="3" t="n">
        <v>21</v>
      </c>
      <c r="J17" s="5" t="n">
        <v>701.81</v>
      </c>
      <c r="K17" s="5" t="n">
        <f aca="false">ROUND(G17*H17,2)</f>
        <v>701.81</v>
      </c>
      <c r="L17" s="5" t="n">
        <f aca="false">K17-J17</f>
        <v>0</v>
      </c>
      <c r="M17" s="3" t="str">
        <f aca="false">IF(ABS(L17)&lt;=0.01,"OK","CHECK")</f>
        <v>OK</v>
      </c>
    </row>
    <row r="18" customFormat="false" ht="15" hidden="false" customHeight="true" outlineLevel="0" collapsed="false">
      <c r="A18" s="3" t="s">
        <v>13</v>
      </c>
      <c r="B18" s="3" t="s">
        <v>52</v>
      </c>
      <c r="C18" s="3" t="s">
        <v>53</v>
      </c>
      <c r="D18" s="3" t="s">
        <v>54</v>
      </c>
      <c r="E18" s="3" t="s">
        <v>40</v>
      </c>
      <c r="F18" s="3" t="s">
        <v>18</v>
      </c>
      <c r="G18" s="4" t="n">
        <v>1.312</v>
      </c>
      <c r="H18" s="5" t="n">
        <v>16</v>
      </c>
      <c r="I18" s="3" t="n">
        <v>21</v>
      </c>
      <c r="J18" s="5" t="n">
        <v>20.99</v>
      </c>
      <c r="K18" s="5" t="n">
        <f aca="false">ROUND(G18*H18,2)</f>
        <v>20.99</v>
      </c>
      <c r="L18" s="5" t="n">
        <f aca="false">K18-J18</f>
        <v>0</v>
      </c>
      <c r="M18" s="3" t="str">
        <f aca="false">IF(ABS(L18)&lt;=0.01,"OK","CHECK")</f>
        <v>OK</v>
      </c>
    </row>
    <row r="19" customFormat="false" ht="15" hidden="false" customHeight="true" outlineLevel="0" collapsed="false">
      <c r="A19" s="3" t="s">
        <v>13</v>
      </c>
      <c r="B19" s="3" t="s">
        <v>52</v>
      </c>
      <c r="C19" s="3" t="s">
        <v>55</v>
      </c>
      <c r="D19" s="3" t="s">
        <v>56</v>
      </c>
      <c r="E19" s="3" t="s">
        <v>17</v>
      </c>
      <c r="F19" s="3" t="s">
        <v>37</v>
      </c>
      <c r="G19" s="4" t="n">
        <v>1.7694</v>
      </c>
      <c r="H19" s="5" t="n">
        <v>456</v>
      </c>
      <c r="I19" s="3" t="n">
        <v>21</v>
      </c>
      <c r="J19" s="5" t="n">
        <v>806.85</v>
      </c>
      <c r="K19" s="5" t="n">
        <f aca="false">ROUND(G19*H19,2)</f>
        <v>806.85</v>
      </c>
      <c r="L19" s="5" t="n">
        <f aca="false">K19-J19</f>
        <v>0</v>
      </c>
      <c r="M19" s="3" t="str">
        <f aca="false">IF(ABS(L19)&lt;=0.01,"OK","CHECK")</f>
        <v>OK</v>
      </c>
    </row>
    <row r="20" customFormat="false" ht="15" hidden="false" customHeight="true" outlineLevel="0" collapsed="false">
      <c r="A20" s="3" t="s">
        <v>13</v>
      </c>
      <c r="B20" s="3" t="s">
        <v>52</v>
      </c>
      <c r="C20" s="3" t="s">
        <v>53</v>
      </c>
      <c r="D20" s="3" t="s">
        <v>57</v>
      </c>
      <c r="E20" s="3" t="s">
        <v>17</v>
      </c>
      <c r="F20" s="3" t="s">
        <v>18</v>
      </c>
      <c r="G20" s="4" t="n">
        <v>1.6843</v>
      </c>
      <c r="H20" s="5" t="n">
        <v>471</v>
      </c>
      <c r="I20" s="3" t="n">
        <v>21</v>
      </c>
      <c r="J20" s="5" t="n">
        <v>793.31</v>
      </c>
      <c r="K20" s="5" t="n">
        <f aca="false">ROUND(G20*H20,2)</f>
        <v>793.31</v>
      </c>
      <c r="L20" s="5" t="n">
        <f aca="false">K20-J20</f>
        <v>0</v>
      </c>
      <c r="M20" s="3" t="str">
        <f aca="false">IF(ABS(L20)&lt;=0.01,"OK","CHECK")</f>
        <v>OK</v>
      </c>
    </row>
    <row r="21" customFormat="false" ht="15" hidden="false" customHeight="true" outlineLevel="0" collapsed="false">
      <c r="A21" s="3" t="s">
        <v>13</v>
      </c>
      <c r="B21" s="3" t="s">
        <v>58</v>
      </c>
      <c r="C21" s="3" t="s">
        <v>24</v>
      </c>
      <c r="D21" s="3" t="s">
        <v>59</v>
      </c>
      <c r="E21" s="3" t="s">
        <v>17</v>
      </c>
      <c r="F21" s="3" t="s">
        <v>18</v>
      </c>
      <c r="G21" s="4" t="n">
        <v>1.7694</v>
      </c>
      <c r="H21" s="5" t="n">
        <v>200.17</v>
      </c>
      <c r="I21" s="3" t="n">
        <v>21</v>
      </c>
      <c r="J21" s="5" t="n">
        <v>354.18</v>
      </c>
      <c r="K21" s="5" t="n">
        <f aca="false">ROUND(G21*H21,2)</f>
        <v>354.18</v>
      </c>
      <c r="L21" s="5" t="n">
        <f aca="false">K21-J21</f>
        <v>0</v>
      </c>
      <c r="M21" s="3" t="str">
        <f aca="false">IF(ABS(L21)&lt;=0.01,"OK","CHECK")</f>
        <v>OK</v>
      </c>
    </row>
    <row r="22" customFormat="false" ht="15" hidden="false" customHeight="true" outlineLevel="0" collapsed="false">
      <c r="A22" s="3" t="s">
        <v>13</v>
      </c>
      <c r="B22" s="3" t="s">
        <v>58</v>
      </c>
      <c r="C22" s="3" t="s">
        <v>35</v>
      </c>
      <c r="D22" s="3" t="s">
        <v>60</v>
      </c>
      <c r="E22" s="3" t="s">
        <v>17</v>
      </c>
      <c r="F22" s="3" t="s">
        <v>18</v>
      </c>
      <c r="G22" s="4" t="n">
        <v>1.6843</v>
      </c>
      <c r="H22" s="5" t="n">
        <v>385.18</v>
      </c>
      <c r="I22" s="3" t="n">
        <v>21</v>
      </c>
      <c r="J22" s="5" t="n">
        <v>648.76</v>
      </c>
      <c r="K22" s="5" t="n">
        <f aca="false">ROUND(G22*H22,2)</f>
        <v>648.76</v>
      </c>
      <c r="L22" s="5" t="n">
        <f aca="false">K22-J22</f>
        <v>0</v>
      </c>
      <c r="M22" s="3" t="str">
        <f aca="false">IF(ABS(L22)&lt;=0.01,"OK","CHECK")</f>
        <v>OK</v>
      </c>
    </row>
    <row r="23" customFormat="false" ht="15" hidden="false" customHeight="true" outlineLevel="0" collapsed="false">
      <c r="A23" s="3" t="s">
        <v>13</v>
      </c>
      <c r="B23" s="3" t="s">
        <v>58</v>
      </c>
      <c r="C23" s="3" t="s">
        <v>35</v>
      </c>
      <c r="D23" s="3" t="s">
        <v>61</v>
      </c>
      <c r="E23" s="3" t="s">
        <v>17</v>
      </c>
      <c r="F23" s="3" t="s">
        <v>18</v>
      </c>
      <c r="G23" s="4" t="n">
        <v>1.6843</v>
      </c>
      <c r="H23" s="5" t="n">
        <v>215.24</v>
      </c>
      <c r="I23" s="3" t="n">
        <v>21</v>
      </c>
      <c r="J23" s="5" t="n">
        <v>362.53</v>
      </c>
      <c r="K23" s="5" t="n">
        <f aca="false">ROUND(G23*H23,2)</f>
        <v>362.53</v>
      </c>
      <c r="L23" s="5" t="n">
        <f aca="false">K23-J23</f>
        <v>0</v>
      </c>
      <c r="M23" s="3" t="str">
        <f aca="false">IF(ABS(L23)&lt;=0.01,"OK","CHECK")</f>
        <v>OK</v>
      </c>
    </row>
    <row r="24" customFormat="false" ht="15" hidden="false" customHeight="true" outlineLevel="0" collapsed="false">
      <c r="A24" s="3" t="s">
        <v>13</v>
      </c>
      <c r="B24" s="3" t="s">
        <v>62</v>
      </c>
      <c r="C24" s="3" t="s">
        <v>15</v>
      </c>
      <c r="D24" s="3" t="s">
        <v>63</v>
      </c>
      <c r="E24" s="3" t="s">
        <v>17</v>
      </c>
      <c r="F24" s="3" t="s">
        <v>18</v>
      </c>
      <c r="G24" s="4" t="n">
        <v>1.7488</v>
      </c>
      <c r="H24" s="5" t="n">
        <v>300.01</v>
      </c>
      <c r="I24" s="3" t="n">
        <v>21</v>
      </c>
      <c r="J24" s="5" t="n">
        <v>524.66</v>
      </c>
      <c r="K24" s="5" t="n">
        <f aca="false">ROUND(G24*H24,2)</f>
        <v>524.66</v>
      </c>
      <c r="L24" s="5" t="n">
        <f aca="false">K24-J24</f>
        <v>0</v>
      </c>
      <c r="M24" s="3" t="str">
        <f aca="false">IF(ABS(L24)&lt;=0.01,"OK","CHECK")</f>
        <v>OK</v>
      </c>
    </row>
    <row r="25" customFormat="false" ht="15" hidden="false" customHeight="true" outlineLevel="0" collapsed="false">
      <c r="A25" s="3" t="s">
        <v>13</v>
      </c>
      <c r="B25" s="3" t="s">
        <v>64</v>
      </c>
      <c r="C25" s="3" t="s">
        <v>35</v>
      </c>
      <c r="D25" s="3" t="s">
        <v>54</v>
      </c>
      <c r="E25" s="3" t="s">
        <v>40</v>
      </c>
      <c r="F25" s="3" t="s">
        <v>18</v>
      </c>
      <c r="G25" s="4" t="n">
        <v>1.312</v>
      </c>
      <c r="H25" s="5" t="n">
        <v>20.19</v>
      </c>
      <c r="I25" s="3" t="n">
        <v>21</v>
      </c>
      <c r="J25" s="5" t="n">
        <v>26.49</v>
      </c>
      <c r="K25" s="5" t="n">
        <f aca="false">ROUND(G25*H25,2)</f>
        <v>26.49</v>
      </c>
      <c r="L25" s="5" t="n">
        <f aca="false">K25-J25</f>
        <v>0</v>
      </c>
      <c r="M25" s="3" t="str">
        <f aca="false">IF(ABS(L25)&lt;=0.01,"OK","CHECK")</f>
        <v>OK</v>
      </c>
    </row>
    <row r="26" customFormat="false" ht="15" hidden="false" customHeight="true" outlineLevel="0" collapsed="false">
      <c r="A26" s="3" t="s">
        <v>13</v>
      </c>
      <c r="B26" s="3" t="s">
        <v>64</v>
      </c>
      <c r="C26" s="3" t="s">
        <v>44</v>
      </c>
      <c r="D26" s="3" t="s">
        <v>65</v>
      </c>
      <c r="E26" s="3" t="s">
        <v>17</v>
      </c>
      <c r="F26" s="3" t="s">
        <v>18</v>
      </c>
      <c r="G26" s="4" t="n">
        <v>1.7488</v>
      </c>
      <c r="H26" s="5" t="n">
        <v>421.09</v>
      </c>
      <c r="I26" s="3" t="n">
        <v>21</v>
      </c>
      <c r="J26" s="5" t="n">
        <v>736.4</v>
      </c>
      <c r="K26" s="5" t="n">
        <f aca="false">ROUND(G26*H26,2)</f>
        <v>736.4</v>
      </c>
      <c r="L26" s="5" t="n">
        <f aca="false">K26-J26</f>
        <v>0</v>
      </c>
      <c r="M26" s="3" t="str">
        <f aca="false">IF(ABS(L26)&lt;=0.01,"OK","CHECK")</f>
        <v>OK</v>
      </c>
    </row>
    <row r="27" customFormat="false" ht="15" hidden="false" customHeight="true" outlineLevel="0" collapsed="false">
      <c r="A27" s="3" t="s">
        <v>13</v>
      </c>
      <c r="B27" s="3" t="s">
        <v>64</v>
      </c>
      <c r="C27" s="3" t="s">
        <v>24</v>
      </c>
      <c r="D27" s="3" t="s">
        <v>25</v>
      </c>
      <c r="E27" s="3" t="s">
        <v>17</v>
      </c>
      <c r="F27" s="3" t="s">
        <v>28</v>
      </c>
      <c r="G27" s="4" t="n">
        <v>1.7694</v>
      </c>
      <c r="H27" s="5" t="n">
        <v>490.56</v>
      </c>
      <c r="I27" s="3" t="n">
        <v>21</v>
      </c>
      <c r="J27" s="5" t="n">
        <v>868</v>
      </c>
      <c r="K27" s="5" t="n">
        <f aca="false">ROUND(G27*H27,2)</f>
        <v>868</v>
      </c>
      <c r="L27" s="5" t="n">
        <f aca="false">K27-J27</f>
        <v>0</v>
      </c>
      <c r="M27" s="3" t="str">
        <f aca="false">IF(ABS(L27)&lt;=0.01,"OK","CHECK")</f>
        <v>OK</v>
      </c>
    </row>
    <row r="28" customFormat="false" ht="15" hidden="false" customHeight="true" outlineLevel="0" collapsed="false">
      <c r="A28" s="3" t="s">
        <v>13</v>
      </c>
      <c r="B28" s="3" t="s">
        <v>64</v>
      </c>
      <c r="C28" s="3" t="s">
        <v>35</v>
      </c>
      <c r="D28" s="3" t="s">
        <v>66</v>
      </c>
      <c r="E28" s="3" t="s">
        <v>17</v>
      </c>
      <c r="F28" s="3" t="s">
        <v>18</v>
      </c>
      <c r="G28" s="4" t="n">
        <v>1.6843</v>
      </c>
      <c r="H28" s="5" t="n">
        <v>490.31</v>
      </c>
      <c r="I28" s="3" t="n">
        <v>21</v>
      </c>
      <c r="J28" s="5" t="n">
        <v>825.83</v>
      </c>
      <c r="K28" s="5" t="n">
        <f aca="false">ROUND(G28*H28,2)</f>
        <v>825.83</v>
      </c>
      <c r="L28" s="5" t="n">
        <f aca="false">K28-J28</f>
        <v>0</v>
      </c>
      <c r="M28" s="3" t="str">
        <f aca="false">IF(ABS(L28)&lt;=0.01,"OK","CHECK")</f>
        <v>OK</v>
      </c>
    </row>
    <row r="29" customFormat="false" ht="15" hidden="false" customHeight="true" outlineLevel="0" collapsed="false">
      <c r="A29" s="3" t="s">
        <v>13</v>
      </c>
      <c r="B29" s="3" t="s">
        <v>67</v>
      </c>
      <c r="C29" s="3" t="s">
        <v>68</v>
      </c>
      <c r="D29" s="3" t="s">
        <v>69</v>
      </c>
      <c r="E29" s="3" t="s">
        <v>17</v>
      </c>
      <c r="F29" s="3" t="s">
        <v>18</v>
      </c>
      <c r="G29" s="4" t="n">
        <v>1.8116</v>
      </c>
      <c r="H29" s="5" t="n">
        <v>470.01</v>
      </c>
      <c r="I29" s="3" t="n">
        <v>21</v>
      </c>
      <c r="J29" s="5" t="n">
        <v>851.47</v>
      </c>
      <c r="K29" s="5" t="n">
        <f aca="false">ROUND(G29*H29,2)</f>
        <v>851.47</v>
      </c>
      <c r="L29" s="5" t="n">
        <f aca="false">K29-J29</f>
        <v>0</v>
      </c>
      <c r="M29" s="3" t="str">
        <f aca="false">IF(ABS(L29)&lt;=0.01,"OK","CHECK")</f>
        <v>OK</v>
      </c>
    </row>
    <row r="30" customFormat="false" ht="15" hidden="false" customHeight="true" outlineLevel="0" collapsed="false">
      <c r="A30" s="3" t="s">
        <v>13</v>
      </c>
      <c r="B30" s="3" t="s">
        <v>67</v>
      </c>
      <c r="C30" s="3" t="s">
        <v>35</v>
      </c>
      <c r="D30" s="3" t="s">
        <v>70</v>
      </c>
      <c r="E30" s="3" t="s">
        <v>17</v>
      </c>
      <c r="F30" s="3" t="s">
        <v>18</v>
      </c>
      <c r="G30" s="4" t="n">
        <v>1.6843</v>
      </c>
      <c r="H30" s="5" t="n">
        <v>420.01</v>
      </c>
      <c r="I30" s="3" t="n">
        <v>21</v>
      </c>
      <c r="J30" s="5" t="n">
        <v>707.42</v>
      </c>
      <c r="K30" s="5" t="n">
        <f aca="false">ROUND(G30*H30,2)</f>
        <v>707.42</v>
      </c>
      <c r="L30" s="5" t="n">
        <f aca="false">K30-J30</f>
        <v>0</v>
      </c>
      <c r="M30" s="3" t="str">
        <f aca="false">IF(ABS(L30)&lt;=0.01,"OK","CHECK")</f>
        <v>OK</v>
      </c>
    </row>
    <row r="31" customFormat="false" ht="15" hidden="false" customHeight="true" outlineLevel="0" collapsed="false">
      <c r="A31" s="3" t="s">
        <v>13</v>
      </c>
      <c r="B31" s="3" t="s">
        <v>71</v>
      </c>
      <c r="C31" s="3" t="s">
        <v>19</v>
      </c>
      <c r="D31" s="3" t="s">
        <v>72</v>
      </c>
      <c r="E31" s="3" t="s">
        <v>40</v>
      </c>
      <c r="F31" s="3" t="s">
        <v>18</v>
      </c>
      <c r="G31" s="4" t="n">
        <v>1.312</v>
      </c>
      <c r="H31" s="5" t="n">
        <v>3.01</v>
      </c>
      <c r="I31" s="3" t="n">
        <v>21</v>
      </c>
      <c r="J31" s="5" t="n">
        <v>3.95</v>
      </c>
      <c r="K31" s="5" t="n">
        <f aca="false">ROUND(G31*H31,2)</f>
        <v>3.95</v>
      </c>
      <c r="L31" s="5" t="n">
        <f aca="false">K31-J31</f>
        <v>0</v>
      </c>
      <c r="M31" s="3" t="str">
        <f aca="false">IF(ABS(L31)&lt;=0.01,"OK","CHECK")</f>
        <v>OK</v>
      </c>
    </row>
    <row r="32" customFormat="false" ht="15" hidden="false" customHeight="true" outlineLevel="0" collapsed="false">
      <c r="A32" s="3" t="s">
        <v>13</v>
      </c>
      <c r="B32" s="3" t="s">
        <v>71</v>
      </c>
      <c r="C32" s="3" t="s">
        <v>19</v>
      </c>
      <c r="D32" s="3" t="s">
        <v>73</v>
      </c>
      <c r="E32" s="3" t="s">
        <v>40</v>
      </c>
      <c r="F32" s="3" t="s">
        <v>18</v>
      </c>
      <c r="G32" s="4" t="n">
        <v>1.312</v>
      </c>
      <c r="H32" s="5" t="n">
        <v>42</v>
      </c>
      <c r="I32" s="3" t="n">
        <v>21</v>
      </c>
      <c r="J32" s="5" t="n">
        <v>55.1</v>
      </c>
      <c r="K32" s="5" t="n">
        <f aca="false">ROUND(G32*H32,2)</f>
        <v>55.1</v>
      </c>
      <c r="L32" s="5" t="n">
        <f aca="false">K32-J32</f>
        <v>0</v>
      </c>
      <c r="M32" s="3" t="str">
        <f aca="false">IF(ABS(L32)&lt;=0.01,"OK","CHECK")</f>
        <v>OK</v>
      </c>
    </row>
    <row r="33" customFormat="false" ht="15" hidden="false" customHeight="true" outlineLevel="0" collapsed="false">
      <c r="A33" s="3" t="s">
        <v>13</v>
      </c>
      <c r="B33" s="3" t="s">
        <v>71</v>
      </c>
      <c r="C33" s="3" t="s">
        <v>74</v>
      </c>
      <c r="D33" s="3" t="s">
        <v>75</v>
      </c>
      <c r="E33" s="3" t="s">
        <v>17</v>
      </c>
      <c r="F33" s="3" t="s">
        <v>18</v>
      </c>
      <c r="G33" s="4" t="n">
        <v>1.7488</v>
      </c>
      <c r="H33" s="5" t="n">
        <v>330.01</v>
      </c>
      <c r="I33" s="3" t="n">
        <v>21</v>
      </c>
      <c r="J33" s="5" t="n">
        <v>577.12</v>
      </c>
      <c r="K33" s="5" t="n">
        <f aca="false">ROUND(G33*H33,2)</f>
        <v>577.12</v>
      </c>
      <c r="L33" s="5" t="n">
        <f aca="false">K33-J33</f>
        <v>0</v>
      </c>
      <c r="M33" s="3" t="str">
        <f aca="false">IF(ABS(L33)&lt;=0.01,"OK","CHECK")</f>
        <v>OK</v>
      </c>
    </row>
    <row r="34" customFormat="false" ht="15" hidden="false" customHeight="true" outlineLevel="0" collapsed="false">
      <c r="A34" s="3" t="s">
        <v>13</v>
      </c>
      <c r="B34" s="3" t="s">
        <v>71</v>
      </c>
      <c r="C34" s="3" t="s">
        <v>19</v>
      </c>
      <c r="D34" s="3" t="s">
        <v>76</v>
      </c>
      <c r="E34" s="3" t="s">
        <v>17</v>
      </c>
      <c r="F34" s="3" t="s">
        <v>18</v>
      </c>
      <c r="G34" s="4" t="n">
        <v>1.8116</v>
      </c>
      <c r="H34" s="5" t="n">
        <v>530.05</v>
      </c>
      <c r="I34" s="3" t="n">
        <v>21</v>
      </c>
      <c r="J34" s="5" t="n">
        <v>960.24</v>
      </c>
      <c r="K34" s="5" t="n">
        <f aca="false">ROUND(G34*H34,2)</f>
        <v>960.24</v>
      </c>
      <c r="L34" s="5" t="n">
        <f aca="false">K34-J34</f>
        <v>0</v>
      </c>
      <c r="M34" s="3" t="str">
        <f aca="false">IF(ABS(L34)&lt;=0.01,"OK","CHECK")</f>
        <v>OK</v>
      </c>
    </row>
    <row r="35" customFormat="false" ht="15" hidden="false" customHeight="true" outlineLevel="0" collapsed="false">
      <c r="A35" s="3" t="s">
        <v>13</v>
      </c>
      <c r="B35" s="3" t="s">
        <v>77</v>
      </c>
      <c r="C35" s="3" t="s">
        <v>68</v>
      </c>
      <c r="D35" s="3" t="s">
        <v>78</v>
      </c>
      <c r="E35" s="3" t="s">
        <v>17</v>
      </c>
      <c r="F35" s="3" t="s">
        <v>18</v>
      </c>
      <c r="G35" s="4" t="n">
        <v>1.8116</v>
      </c>
      <c r="H35" s="5" t="n">
        <v>886</v>
      </c>
      <c r="I35" s="3" t="n">
        <v>21</v>
      </c>
      <c r="J35" s="5" t="n">
        <v>1605.08</v>
      </c>
      <c r="K35" s="5" t="n">
        <f aca="false">ROUND(G35*H35,2)</f>
        <v>1605.08</v>
      </c>
      <c r="L35" s="5" t="n">
        <f aca="false">K35-J35</f>
        <v>0</v>
      </c>
      <c r="M35" s="3" t="str">
        <f aca="false">IF(ABS(L35)&lt;=0.01,"OK","CHECK")</f>
        <v>OK</v>
      </c>
    </row>
    <row r="36" customFormat="false" ht="15" hidden="false" customHeight="true" outlineLevel="0" collapsed="false">
      <c r="A36" s="3" t="s">
        <v>13</v>
      </c>
      <c r="B36" s="3" t="s">
        <v>77</v>
      </c>
      <c r="C36" s="3" t="s">
        <v>79</v>
      </c>
      <c r="D36" s="3" t="s">
        <v>80</v>
      </c>
      <c r="E36" s="3" t="s">
        <v>17</v>
      </c>
      <c r="F36" s="3" t="s">
        <v>18</v>
      </c>
      <c r="G36" s="4" t="n">
        <v>1.7694</v>
      </c>
      <c r="H36" s="5" t="n">
        <v>690.02</v>
      </c>
      <c r="I36" s="3" t="n">
        <v>21</v>
      </c>
      <c r="J36" s="5" t="n">
        <v>1220.92</v>
      </c>
      <c r="K36" s="5" t="n">
        <f aca="false">ROUND(G36*H36,2)</f>
        <v>1220.92</v>
      </c>
      <c r="L36" s="5" t="n">
        <f aca="false">K36-J36</f>
        <v>0</v>
      </c>
      <c r="M36" s="3" t="str">
        <f aca="false">IF(ABS(L36)&lt;=0.01,"OK","CHECK")</f>
        <v>OK</v>
      </c>
    </row>
    <row r="37" customFormat="false" ht="15" hidden="false" customHeight="true" outlineLevel="0" collapsed="false">
      <c r="A37" s="3" t="s">
        <v>13</v>
      </c>
      <c r="B37" s="3" t="s">
        <v>81</v>
      </c>
      <c r="C37" s="3" t="s">
        <v>82</v>
      </c>
      <c r="D37" s="3" t="s">
        <v>83</v>
      </c>
      <c r="E37" s="3" t="s">
        <v>40</v>
      </c>
      <c r="F37" s="3" t="s">
        <v>18</v>
      </c>
      <c r="G37" s="4" t="n">
        <v>1.312</v>
      </c>
      <c r="H37" s="5" t="n">
        <v>30.2</v>
      </c>
      <c r="I37" s="3" t="n">
        <v>21</v>
      </c>
      <c r="J37" s="5" t="n">
        <v>39.62</v>
      </c>
      <c r="K37" s="5" t="n">
        <f aca="false">ROUND(G37*H37,2)</f>
        <v>39.62</v>
      </c>
      <c r="L37" s="5" t="n">
        <f aca="false">K37-J37</f>
        <v>0</v>
      </c>
      <c r="M37" s="3" t="str">
        <f aca="false">IF(ABS(L37)&lt;=0.01,"OK","CHECK")</f>
        <v>OK</v>
      </c>
    </row>
    <row r="38" customFormat="false" ht="15" hidden="false" customHeight="true" outlineLevel="0" collapsed="false">
      <c r="A38" s="3" t="s">
        <v>13</v>
      </c>
      <c r="B38" s="3" t="s">
        <v>81</v>
      </c>
      <c r="C38" s="3" t="s">
        <v>15</v>
      </c>
      <c r="D38" s="3" t="s">
        <v>84</v>
      </c>
      <c r="E38" s="3" t="s">
        <v>17</v>
      </c>
      <c r="F38" s="3" t="s">
        <v>18</v>
      </c>
      <c r="G38" s="4" t="n">
        <v>1.7488</v>
      </c>
      <c r="H38" s="5" t="n">
        <v>580</v>
      </c>
      <c r="I38" s="3" t="n">
        <v>21</v>
      </c>
      <c r="J38" s="5" t="n">
        <v>1014.3</v>
      </c>
      <c r="K38" s="5" t="n">
        <f aca="false">ROUND(G38*H38,2)</f>
        <v>1014.3</v>
      </c>
      <c r="L38" s="5" t="n">
        <f aca="false">K38-J38</f>
        <v>0</v>
      </c>
      <c r="M38" s="3" t="str">
        <f aca="false">IF(ABS(L38)&lt;=0.01,"OK","CHECK")</f>
        <v>OK</v>
      </c>
    </row>
    <row r="39" customFormat="false" ht="15" hidden="false" customHeight="true" outlineLevel="0" collapsed="false">
      <c r="A39" s="3" t="s">
        <v>13</v>
      </c>
      <c r="B39" s="3" t="s">
        <v>81</v>
      </c>
      <c r="C39" s="3" t="s">
        <v>82</v>
      </c>
      <c r="D39" s="3" t="s">
        <v>85</v>
      </c>
      <c r="E39" s="3" t="s">
        <v>17</v>
      </c>
      <c r="F39" s="3" t="s">
        <v>18</v>
      </c>
      <c r="G39" s="4" t="n">
        <v>1.7694</v>
      </c>
      <c r="H39" s="5" t="n">
        <v>670</v>
      </c>
      <c r="I39" s="3" t="n">
        <v>21</v>
      </c>
      <c r="J39" s="5" t="n">
        <v>1185.5</v>
      </c>
      <c r="K39" s="5" t="n">
        <f aca="false">ROUND(G39*H39,2)</f>
        <v>1185.5</v>
      </c>
      <c r="L39" s="5" t="n">
        <f aca="false">K39-J39</f>
        <v>0</v>
      </c>
      <c r="M39" s="3" t="str">
        <f aca="false">IF(ABS(L39)&lt;=0.01,"OK","CHECK")</f>
        <v>OK</v>
      </c>
    </row>
    <row r="40" customFormat="false" ht="15" hidden="false" customHeight="true" outlineLevel="0" collapsed="false">
      <c r="A40" s="3" t="s">
        <v>13</v>
      </c>
      <c r="B40" s="3" t="s">
        <v>81</v>
      </c>
      <c r="C40" s="3" t="s">
        <v>35</v>
      </c>
      <c r="D40" s="3" t="s">
        <v>86</v>
      </c>
      <c r="E40" s="3" t="s">
        <v>17</v>
      </c>
      <c r="F40" s="3" t="s">
        <v>18</v>
      </c>
      <c r="G40" s="4" t="n">
        <v>1.6843</v>
      </c>
      <c r="H40" s="5" t="n">
        <v>860.02</v>
      </c>
      <c r="I40" s="3" t="n">
        <v>21</v>
      </c>
      <c r="J40" s="5" t="n">
        <v>1448.53</v>
      </c>
      <c r="K40" s="5" t="n">
        <f aca="false">ROUND(G40*H40,2)</f>
        <v>1448.53</v>
      </c>
      <c r="L40" s="5" t="n">
        <f aca="false">K40-J40</f>
        <v>0</v>
      </c>
      <c r="M40" s="3" t="str">
        <f aca="false">IF(ABS(L40)&lt;=0.01,"OK","CHECK")</f>
        <v>OK</v>
      </c>
    </row>
    <row r="41" customFormat="false" ht="15" hidden="false" customHeight="true" outlineLevel="0" collapsed="false">
      <c r="A41" s="3" t="s">
        <v>13</v>
      </c>
      <c r="B41" s="3" t="s">
        <v>87</v>
      </c>
      <c r="C41" s="3" t="s">
        <v>15</v>
      </c>
      <c r="D41" s="3" t="s">
        <v>65</v>
      </c>
      <c r="E41" s="3" t="s">
        <v>17</v>
      </c>
      <c r="F41" s="3" t="s">
        <v>18</v>
      </c>
      <c r="G41" s="4" t="n">
        <v>1.7488</v>
      </c>
      <c r="H41" s="5" t="n">
        <v>473.87</v>
      </c>
      <c r="I41" s="3" t="n">
        <v>21</v>
      </c>
      <c r="J41" s="5" t="n">
        <v>828.7</v>
      </c>
      <c r="K41" s="5" t="n">
        <f aca="false">ROUND(G41*H41,2)</f>
        <v>828.7</v>
      </c>
      <c r="L41" s="5" t="n">
        <f aca="false">K41-J41</f>
        <v>0</v>
      </c>
      <c r="M41" s="3" t="str">
        <f aca="false">IF(ABS(L41)&lt;=0.01,"OK","CHECK")</f>
        <v>OK</v>
      </c>
    </row>
    <row r="42" customFormat="false" ht="15" hidden="false" customHeight="true" outlineLevel="0" collapsed="false">
      <c r="A42" s="3" t="s">
        <v>13</v>
      </c>
      <c r="B42" s="3" t="s">
        <v>87</v>
      </c>
      <c r="C42" s="3" t="s">
        <v>82</v>
      </c>
      <c r="D42" s="3" t="s">
        <v>88</v>
      </c>
      <c r="E42" s="3" t="s">
        <v>17</v>
      </c>
      <c r="F42" s="3" t="s">
        <v>18</v>
      </c>
      <c r="G42" s="4" t="n">
        <v>1.7694</v>
      </c>
      <c r="H42" s="5" t="n">
        <v>617.33</v>
      </c>
      <c r="I42" s="3" t="n">
        <v>21</v>
      </c>
      <c r="J42" s="5" t="n">
        <v>1092.3</v>
      </c>
      <c r="K42" s="5" t="n">
        <f aca="false">ROUND(G42*H42,2)</f>
        <v>1092.3</v>
      </c>
      <c r="L42" s="5" t="n">
        <f aca="false">K42-J42</f>
        <v>0</v>
      </c>
      <c r="M42" s="3" t="str">
        <f aca="false">IF(ABS(L42)&lt;=0.01,"OK","CHECK")</f>
        <v>OK</v>
      </c>
    </row>
    <row r="43" customFormat="false" ht="15" hidden="false" customHeight="true" outlineLevel="0" collapsed="false">
      <c r="A43" s="3" t="s">
        <v>13</v>
      </c>
      <c r="B43" s="3" t="s">
        <v>89</v>
      </c>
      <c r="C43" s="3" t="s">
        <v>68</v>
      </c>
      <c r="D43" s="3" t="s">
        <v>90</v>
      </c>
      <c r="E43" s="3" t="s">
        <v>40</v>
      </c>
      <c r="F43" s="3" t="s">
        <v>37</v>
      </c>
      <c r="G43" s="4" t="n">
        <v>1.312</v>
      </c>
      <c r="H43" s="5" t="n">
        <v>51.19</v>
      </c>
      <c r="I43" s="3" t="n">
        <v>21</v>
      </c>
      <c r="J43" s="5" t="n">
        <v>67.16</v>
      </c>
      <c r="K43" s="5" t="n">
        <f aca="false">ROUND(G43*H43,2)</f>
        <v>67.16</v>
      </c>
      <c r="L43" s="5" t="n">
        <f aca="false">K43-J43</f>
        <v>0</v>
      </c>
      <c r="M43" s="3" t="str">
        <f aca="false">IF(ABS(L43)&lt;=0.01,"OK","CHECK")</f>
        <v>OK</v>
      </c>
    </row>
    <row r="44" customFormat="false" ht="15" hidden="false" customHeight="true" outlineLevel="0" collapsed="false">
      <c r="A44" s="3" t="s">
        <v>13</v>
      </c>
      <c r="B44" s="3" t="s">
        <v>89</v>
      </c>
      <c r="C44" s="3" t="s">
        <v>68</v>
      </c>
      <c r="D44" s="3" t="s">
        <v>91</v>
      </c>
      <c r="E44" s="3" t="s">
        <v>17</v>
      </c>
      <c r="F44" s="3" t="s">
        <v>37</v>
      </c>
      <c r="G44" s="4" t="n">
        <v>1.8116</v>
      </c>
      <c r="H44" s="5" t="n">
        <v>526.16</v>
      </c>
      <c r="I44" s="3" t="n">
        <v>21</v>
      </c>
      <c r="J44" s="5" t="n">
        <v>953.19</v>
      </c>
      <c r="K44" s="5" t="n">
        <f aca="false">ROUND(G44*H44,2)</f>
        <v>953.19</v>
      </c>
      <c r="L44" s="5" t="n">
        <f aca="false">K44-J44</f>
        <v>0</v>
      </c>
      <c r="M44" s="3" t="str">
        <f aca="false">IF(ABS(L44)&lt;=0.01,"OK","CHECK")</f>
        <v>OK</v>
      </c>
    </row>
    <row r="45" customFormat="false" ht="15" hidden="false" customHeight="true" outlineLevel="0" collapsed="false">
      <c r="A45" s="3" t="s">
        <v>13</v>
      </c>
      <c r="B45" s="3" t="s">
        <v>89</v>
      </c>
      <c r="C45" s="3" t="s">
        <v>68</v>
      </c>
      <c r="D45" s="3" t="s">
        <v>92</v>
      </c>
      <c r="E45" s="3" t="s">
        <v>17</v>
      </c>
      <c r="F45" s="3" t="s">
        <v>37</v>
      </c>
      <c r="G45" s="4" t="n">
        <v>1.8116</v>
      </c>
      <c r="H45" s="5" t="n">
        <v>315.1</v>
      </c>
      <c r="I45" s="3" t="n">
        <v>21</v>
      </c>
      <c r="J45" s="5" t="n">
        <v>570.84</v>
      </c>
      <c r="K45" s="5" t="n">
        <f aca="false">ROUND(G45*H45,2)</f>
        <v>570.84</v>
      </c>
      <c r="L45" s="5" t="n">
        <f aca="false">K45-J45</f>
        <v>0</v>
      </c>
      <c r="M45" s="3" t="str">
        <f aca="false">IF(ABS(L45)&lt;=0.01,"OK","CHECK")</f>
        <v>OK</v>
      </c>
    </row>
    <row r="46" customFormat="false" ht="15" hidden="false" customHeight="true" outlineLevel="0" collapsed="false">
      <c r="A46" s="3" t="s">
        <v>13</v>
      </c>
      <c r="B46" s="3" t="s">
        <v>93</v>
      </c>
      <c r="C46" s="3" t="s">
        <v>35</v>
      </c>
      <c r="D46" s="3" t="s">
        <v>94</v>
      </c>
      <c r="E46" s="3" t="s">
        <v>17</v>
      </c>
      <c r="F46" s="3" t="s">
        <v>18</v>
      </c>
      <c r="G46" s="4" t="n">
        <v>1.6843</v>
      </c>
      <c r="H46" s="5" t="n">
        <v>810.01</v>
      </c>
      <c r="I46" s="3" t="n">
        <v>21</v>
      </c>
      <c r="J46" s="5" t="n">
        <v>1364.3</v>
      </c>
      <c r="K46" s="5" t="n">
        <f aca="false">ROUND(G46*H46,2)</f>
        <v>1364.3</v>
      </c>
      <c r="L46" s="5" t="n">
        <f aca="false">K46-J46</f>
        <v>0</v>
      </c>
      <c r="M46" s="3" t="str">
        <f aca="false">IF(ABS(L46)&lt;=0.01,"OK","CHECK")</f>
        <v>OK</v>
      </c>
    </row>
    <row r="47" customFormat="false" ht="15" hidden="false" customHeight="true" outlineLevel="0" collapsed="false">
      <c r="A47" s="3" t="s">
        <v>13</v>
      </c>
      <c r="B47" s="3" t="s">
        <v>95</v>
      </c>
      <c r="C47" s="3" t="s">
        <v>19</v>
      </c>
      <c r="D47" s="3" t="s">
        <v>96</v>
      </c>
      <c r="E47" s="3" t="s">
        <v>17</v>
      </c>
      <c r="F47" s="3" t="s">
        <v>97</v>
      </c>
      <c r="G47" s="4" t="n">
        <v>1.8116</v>
      </c>
      <c r="H47" s="5" t="n">
        <v>250.11</v>
      </c>
      <c r="I47" s="3" t="n">
        <v>21</v>
      </c>
      <c r="J47" s="5" t="n">
        <v>453.1</v>
      </c>
      <c r="K47" s="5" t="n">
        <f aca="false">ROUND(G47*H47,2)</f>
        <v>453.1</v>
      </c>
      <c r="L47" s="5" t="n">
        <f aca="false">K47-J47</f>
        <v>0</v>
      </c>
      <c r="M47" s="3" t="str">
        <f aca="false">IF(ABS(L47)&lt;=0.01,"OK","CHECK")</f>
        <v>OK</v>
      </c>
    </row>
    <row r="48" customFormat="false" ht="15" hidden="false" customHeight="true" outlineLevel="0" collapsed="false">
      <c r="A48" s="3" t="s">
        <v>13</v>
      </c>
      <c r="B48" s="3" t="s">
        <v>98</v>
      </c>
      <c r="C48" s="3" t="s">
        <v>68</v>
      </c>
      <c r="D48" s="3" t="s">
        <v>99</v>
      </c>
      <c r="E48" s="3" t="s">
        <v>17</v>
      </c>
      <c r="F48" s="3" t="s">
        <v>18</v>
      </c>
      <c r="G48" s="4" t="n">
        <v>1.8116</v>
      </c>
      <c r="H48" s="5" t="n">
        <v>545</v>
      </c>
      <c r="I48" s="3" t="n">
        <v>21</v>
      </c>
      <c r="J48" s="5" t="n">
        <v>987.32</v>
      </c>
      <c r="K48" s="5" t="n">
        <f aca="false">ROUND(G48*H48,2)</f>
        <v>987.32</v>
      </c>
      <c r="L48" s="5" t="n">
        <f aca="false">K48-J48</f>
        <v>0</v>
      </c>
      <c r="M48" s="3" t="str">
        <f aca="false">IF(ABS(L48)&lt;=0.01,"OK","CHECK")</f>
        <v>OK</v>
      </c>
    </row>
    <row r="49" customFormat="false" ht="15" hidden="false" customHeight="true" outlineLevel="0" collapsed="false">
      <c r="A49" s="3" t="s">
        <v>13</v>
      </c>
      <c r="B49" s="3" t="s">
        <v>98</v>
      </c>
      <c r="C49" s="3" t="s">
        <v>35</v>
      </c>
      <c r="D49" s="3" t="s">
        <v>100</v>
      </c>
      <c r="E49" s="3" t="s">
        <v>17</v>
      </c>
      <c r="F49" s="3" t="s">
        <v>18</v>
      </c>
      <c r="G49" s="4" t="n">
        <v>1.6843</v>
      </c>
      <c r="H49" s="5" t="n">
        <v>730</v>
      </c>
      <c r="I49" s="3" t="n">
        <v>21</v>
      </c>
      <c r="J49" s="5" t="n">
        <v>1229.54</v>
      </c>
      <c r="K49" s="5" t="n">
        <f aca="false">ROUND(G49*H49,2)</f>
        <v>1229.54</v>
      </c>
      <c r="L49" s="5" t="n">
        <f aca="false">K49-J49</f>
        <v>0</v>
      </c>
      <c r="M49" s="3" t="str">
        <f aca="false">IF(ABS(L49)&lt;=0.01,"OK","CHECK")</f>
        <v>OK</v>
      </c>
    </row>
    <row r="50" customFormat="false" ht="15" hidden="false" customHeight="true" outlineLevel="0" collapsed="false">
      <c r="A50" s="3" t="s">
        <v>13</v>
      </c>
      <c r="B50" s="3" t="s">
        <v>101</v>
      </c>
      <c r="C50" s="3" t="s">
        <v>22</v>
      </c>
      <c r="D50" s="3" t="s">
        <v>102</v>
      </c>
      <c r="E50" s="3" t="s">
        <v>40</v>
      </c>
      <c r="F50" s="3" t="s">
        <v>18</v>
      </c>
      <c r="G50" s="4" t="n">
        <v>1.312</v>
      </c>
      <c r="H50" s="5" t="n">
        <v>22.77</v>
      </c>
      <c r="I50" s="3" t="n">
        <v>21</v>
      </c>
      <c r="J50" s="5" t="n">
        <v>29.87</v>
      </c>
      <c r="K50" s="5" t="n">
        <f aca="false">ROUND(G50*H50,2)</f>
        <v>29.87</v>
      </c>
      <c r="L50" s="5" t="n">
        <f aca="false">K50-J50</f>
        <v>0</v>
      </c>
      <c r="M50" s="3" t="str">
        <f aca="false">IF(ABS(L50)&lt;=0.01,"OK","CHECK")</f>
        <v>OK</v>
      </c>
    </row>
    <row r="51" customFormat="false" ht="15" hidden="false" customHeight="true" outlineLevel="0" collapsed="false">
      <c r="A51" s="3" t="s">
        <v>13</v>
      </c>
      <c r="B51" s="3" t="s">
        <v>101</v>
      </c>
      <c r="C51" s="3" t="s">
        <v>82</v>
      </c>
      <c r="D51" s="3" t="s">
        <v>103</v>
      </c>
      <c r="E51" s="3" t="s">
        <v>17</v>
      </c>
      <c r="F51" s="3" t="s">
        <v>18</v>
      </c>
      <c r="G51" s="4" t="n">
        <v>1.7694</v>
      </c>
      <c r="H51" s="5" t="n">
        <v>202.37</v>
      </c>
      <c r="I51" s="3" t="n">
        <v>21</v>
      </c>
      <c r="J51" s="5" t="n">
        <v>358.07</v>
      </c>
      <c r="K51" s="5" t="n">
        <f aca="false">ROUND(G51*H51,2)</f>
        <v>358.07</v>
      </c>
      <c r="L51" s="5" t="n">
        <f aca="false">K51-J51</f>
        <v>0</v>
      </c>
      <c r="M51" s="3" t="str">
        <f aca="false">IF(ABS(L51)&lt;=0.01,"OK","CHECK")</f>
        <v>OK</v>
      </c>
    </row>
    <row r="52" customFormat="false" ht="15" hidden="false" customHeight="true" outlineLevel="0" collapsed="false">
      <c r="A52" s="3" t="s">
        <v>13</v>
      </c>
      <c r="B52" s="3" t="s">
        <v>101</v>
      </c>
      <c r="C52" s="3" t="s">
        <v>22</v>
      </c>
      <c r="D52" s="3" t="s">
        <v>104</v>
      </c>
      <c r="E52" s="3" t="s">
        <v>17</v>
      </c>
      <c r="F52" s="3" t="s">
        <v>18</v>
      </c>
      <c r="G52" s="4" t="n">
        <v>1.7694</v>
      </c>
      <c r="H52" s="5" t="n">
        <v>234.04</v>
      </c>
      <c r="I52" s="3" t="n">
        <v>21</v>
      </c>
      <c r="J52" s="5" t="n">
        <v>414.11</v>
      </c>
      <c r="K52" s="5" t="n">
        <f aca="false">ROUND(G52*H52,2)</f>
        <v>414.11</v>
      </c>
      <c r="L52" s="5" t="n">
        <f aca="false">K52-J52</f>
        <v>0</v>
      </c>
      <c r="M52" s="3" t="str">
        <f aca="false">IF(ABS(L52)&lt;=0.01,"OK","CHECK")</f>
        <v>OK</v>
      </c>
    </row>
    <row r="53" customFormat="false" ht="15" hidden="false" customHeight="true" outlineLevel="0" collapsed="false">
      <c r="A53" s="3" t="s">
        <v>13</v>
      </c>
      <c r="B53" s="3" t="s">
        <v>105</v>
      </c>
      <c r="C53" s="3" t="s">
        <v>44</v>
      </c>
      <c r="D53" s="3" t="s">
        <v>59</v>
      </c>
      <c r="E53" s="3" t="s">
        <v>17</v>
      </c>
      <c r="F53" s="3" t="s">
        <v>106</v>
      </c>
      <c r="G53" s="4" t="n">
        <v>1.7488</v>
      </c>
      <c r="H53" s="5" t="n">
        <v>333.24</v>
      </c>
      <c r="I53" s="3" t="n">
        <v>21</v>
      </c>
      <c r="J53" s="5" t="n">
        <v>582.77</v>
      </c>
      <c r="K53" s="5" t="n">
        <f aca="false">ROUND(G53*H53,2)</f>
        <v>582.77</v>
      </c>
      <c r="L53" s="5" t="n">
        <f aca="false">K53-J53</f>
        <v>0</v>
      </c>
      <c r="M53" s="3" t="str">
        <f aca="false">IF(ABS(L53)&lt;=0.01,"OK","CHECK")</f>
        <v>OK</v>
      </c>
    </row>
    <row r="54" customFormat="false" ht="15" hidden="false" customHeight="true" outlineLevel="0" collapsed="false">
      <c r="A54" s="3" t="s">
        <v>13</v>
      </c>
      <c r="B54" s="3" t="s">
        <v>105</v>
      </c>
      <c r="C54" s="3" t="s">
        <v>82</v>
      </c>
      <c r="D54" s="3" t="s">
        <v>107</v>
      </c>
      <c r="E54" s="3" t="s">
        <v>17</v>
      </c>
      <c r="F54" s="3" t="s">
        <v>97</v>
      </c>
      <c r="G54" s="4" t="n">
        <v>1.7694</v>
      </c>
      <c r="H54" s="5" t="n">
        <v>560</v>
      </c>
      <c r="I54" s="3" t="n">
        <v>21</v>
      </c>
      <c r="J54" s="5" t="n">
        <v>990.86</v>
      </c>
      <c r="K54" s="5" t="n">
        <f aca="false">ROUND(G54*H54,2)</f>
        <v>990.86</v>
      </c>
      <c r="L54" s="5" t="n">
        <f aca="false">K54-J54</f>
        <v>0</v>
      </c>
      <c r="M54" s="3" t="str">
        <f aca="false">IF(ABS(L54)&lt;=0.01,"OK","CHECK")</f>
        <v>OK</v>
      </c>
    </row>
    <row r="55" customFormat="false" ht="15" hidden="false" customHeight="true" outlineLevel="0" collapsed="false">
      <c r="A55" s="3" t="s">
        <v>13</v>
      </c>
      <c r="B55" s="3" t="s">
        <v>105</v>
      </c>
      <c r="C55" s="3" t="s">
        <v>79</v>
      </c>
      <c r="D55" s="3" t="s">
        <v>108</v>
      </c>
      <c r="E55" s="3" t="s">
        <v>17</v>
      </c>
      <c r="F55" s="3" t="s">
        <v>18</v>
      </c>
      <c r="G55" s="4" t="n">
        <v>1.7694</v>
      </c>
      <c r="H55" s="5" t="n">
        <v>494</v>
      </c>
      <c r="I55" s="3" t="n">
        <v>21</v>
      </c>
      <c r="J55" s="5" t="n">
        <v>874.08</v>
      </c>
      <c r="K55" s="5" t="n">
        <f aca="false">ROUND(G55*H55,2)</f>
        <v>874.08</v>
      </c>
      <c r="L55" s="5" t="n">
        <f aca="false">K55-J55</f>
        <v>0</v>
      </c>
      <c r="M55" s="3" t="str">
        <f aca="false">IF(ABS(L55)&lt;=0.01,"OK","CHECK")</f>
        <v>OK</v>
      </c>
    </row>
    <row r="56" customFormat="false" ht="15" hidden="false" customHeight="true" outlineLevel="0" collapsed="false">
      <c r="A56" s="3" t="s">
        <v>109</v>
      </c>
      <c r="B56" s="3" t="s">
        <v>62</v>
      </c>
      <c r="C56" s="3" t="s">
        <v>19</v>
      </c>
      <c r="D56" s="3" t="s">
        <v>108</v>
      </c>
      <c r="E56" s="3" t="s">
        <v>40</v>
      </c>
      <c r="F56" s="3" t="s">
        <v>110</v>
      </c>
      <c r="G56" s="4" t="n">
        <v>1.2842</v>
      </c>
      <c r="H56" s="5" t="n">
        <v>42.47</v>
      </c>
      <c r="I56" s="3" t="n">
        <v>19</v>
      </c>
      <c r="J56" s="5" t="n">
        <v>54.54</v>
      </c>
      <c r="K56" s="5" t="n">
        <f aca="false">ROUND(G56*H56,2)</f>
        <v>54.54</v>
      </c>
      <c r="L56" s="5" t="n">
        <f aca="false">K56-J56</f>
        <v>0</v>
      </c>
      <c r="M56" s="3" t="str">
        <f aca="false">IF(ABS(L56)&lt;=0.01,"OK","CHECK")</f>
        <v>OK</v>
      </c>
    </row>
    <row r="57" customFormat="false" ht="15" hidden="false" customHeight="true" outlineLevel="0" collapsed="false">
      <c r="A57" s="3" t="s">
        <v>109</v>
      </c>
      <c r="B57" s="3" t="s">
        <v>62</v>
      </c>
      <c r="C57" s="3" t="s">
        <v>79</v>
      </c>
      <c r="D57" s="3" t="s">
        <v>111</v>
      </c>
      <c r="E57" s="3" t="s">
        <v>40</v>
      </c>
      <c r="F57" s="3" t="s">
        <v>110</v>
      </c>
      <c r="G57" s="4" t="n">
        <v>1.2842</v>
      </c>
      <c r="H57" s="5" t="n">
        <v>64</v>
      </c>
      <c r="I57" s="3" t="n">
        <v>19</v>
      </c>
      <c r="J57" s="5" t="n">
        <v>82.19</v>
      </c>
      <c r="K57" s="5" t="n">
        <f aca="false">ROUND(G57*H57,2)</f>
        <v>82.19</v>
      </c>
      <c r="L57" s="5" t="n">
        <f aca="false">K57-J57</f>
        <v>0</v>
      </c>
      <c r="M57" s="3" t="str">
        <f aca="false">IF(ABS(L57)&lt;=0.01,"OK","CHECK")</f>
        <v>OK</v>
      </c>
    </row>
    <row r="58" customFormat="false" ht="15" hidden="false" customHeight="true" outlineLevel="0" collapsed="false">
      <c r="A58" s="3" t="s">
        <v>109</v>
      </c>
      <c r="B58" s="3" t="s">
        <v>62</v>
      </c>
      <c r="C58" s="3" t="s">
        <v>19</v>
      </c>
      <c r="D58" s="3" t="s">
        <v>112</v>
      </c>
      <c r="E58" s="3" t="s">
        <v>17</v>
      </c>
      <c r="F58" s="3" t="s">
        <v>110</v>
      </c>
      <c r="G58" s="4" t="n">
        <v>1.7403</v>
      </c>
      <c r="H58" s="5" t="n">
        <v>258</v>
      </c>
      <c r="I58" s="3" t="n">
        <v>19</v>
      </c>
      <c r="J58" s="5" t="n">
        <v>449</v>
      </c>
      <c r="K58" s="5" t="n">
        <f aca="false">ROUND(G58*H58,2)</f>
        <v>449</v>
      </c>
      <c r="L58" s="5" t="n">
        <f aca="false">K58-J58</f>
        <v>0</v>
      </c>
      <c r="M58" s="3" t="str">
        <f aca="false">IF(ABS(L58)&lt;=0.01,"OK","CHECK")</f>
        <v>OK</v>
      </c>
    </row>
    <row r="59" customFormat="false" ht="15" hidden="false" customHeight="true" outlineLevel="0" collapsed="false">
      <c r="A59" s="3" t="s">
        <v>109</v>
      </c>
      <c r="B59" s="3" t="s">
        <v>62</v>
      </c>
      <c r="C59" s="3" t="s">
        <v>82</v>
      </c>
      <c r="D59" s="3" t="s">
        <v>88</v>
      </c>
      <c r="E59" s="3" t="s">
        <v>17</v>
      </c>
      <c r="F59" s="3" t="s">
        <v>110</v>
      </c>
      <c r="G59" s="4" t="n">
        <v>1.7067</v>
      </c>
      <c r="H59" s="5" t="n">
        <v>300.05</v>
      </c>
      <c r="I59" s="3" t="n">
        <v>19</v>
      </c>
      <c r="J59" s="5" t="n">
        <v>512.1</v>
      </c>
      <c r="K59" s="5" t="n">
        <f aca="false">ROUND(G59*H59,2)</f>
        <v>512.1</v>
      </c>
      <c r="L59" s="5" t="n">
        <f aca="false">K59-J59</f>
        <v>0</v>
      </c>
      <c r="M59" s="3" t="str">
        <f aca="false">IF(ABS(L59)&lt;=0.01,"OK","CHECK")</f>
        <v>OK</v>
      </c>
    </row>
    <row r="60" customFormat="false" ht="15" hidden="false" customHeight="true" outlineLevel="0" collapsed="false">
      <c r="A60" s="3" t="s">
        <v>109</v>
      </c>
      <c r="B60" s="3" t="s">
        <v>62</v>
      </c>
      <c r="C60" s="3" t="s">
        <v>79</v>
      </c>
      <c r="D60" s="3" t="s">
        <v>113</v>
      </c>
      <c r="E60" s="3" t="s">
        <v>17</v>
      </c>
      <c r="F60" s="3" t="s">
        <v>110</v>
      </c>
      <c r="G60" s="4" t="n">
        <v>1.6529</v>
      </c>
      <c r="H60" s="5" t="n">
        <v>550.02</v>
      </c>
      <c r="I60" s="3" t="n">
        <v>19</v>
      </c>
      <c r="J60" s="5" t="n">
        <v>909.13</v>
      </c>
      <c r="K60" s="5" t="n">
        <f aca="false">ROUND(G60*H60,2)</f>
        <v>909.13</v>
      </c>
      <c r="L60" s="5" t="n">
        <f aca="false">K60-J60</f>
        <v>0</v>
      </c>
      <c r="M60" s="3" t="str">
        <f aca="false">IF(ABS(L60)&lt;=0.01,"OK","CHECK")</f>
        <v>OK</v>
      </c>
    </row>
    <row r="61" customFormat="false" ht="15" hidden="false" customHeight="true" outlineLevel="0" collapsed="false">
      <c r="A61" s="3" t="s">
        <v>109</v>
      </c>
      <c r="B61" s="3" t="s">
        <v>114</v>
      </c>
      <c r="C61" s="3" t="s">
        <v>44</v>
      </c>
      <c r="D61" s="3" t="s">
        <v>115</v>
      </c>
      <c r="E61" s="3" t="s">
        <v>40</v>
      </c>
      <c r="F61" s="3" t="s">
        <v>110</v>
      </c>
      <c r="G61" s="4" t="n">
        <v>1.2842</v>
      </c>
      <c r="H61" s="5" t="n">
        <v>15.01</v>
      </c>
      <c r="I61" s="3" t="n">
        <v>19</v>
      </c>
      <c r="J61" s="5" t="n">
        <v>19.28</v>
      </c>
      <c r="K61" s="5" t="n">
        <f aca="false">ROUND(G61*H61,2)</f>
        <v>19.28</v>
      </c>
      <c r="L61" s="5" t="n">
        <f aca="false">K61-J61</f>
        <v>0</v>
      </c>
      <c r="M61" s="3" t="str">
        <f aca="false">IF(ABS(L61)&lt;=0.01,"OK","CHECK")</f>
        <v>OK</v>
      </c>
    </row>
    <row r="62" customFormat="false" ht="15" hidden="false" customHeight="true" outlineLevel="0" collapsed="false">
      <c r="A62" s="3" t="s">
        <v>109</v>
      </c>
      <c r="B62" s="3" t="s">
        <v>114</v>
      </c>
      <c r="C62" s="3" t="s">
        <v>79</v>
      </c>
      <c r="D62" s="3" t="s">
        <v>116</v>
      </c>
      <c r="E62" s="3" t="s">
        <v>40</v>
      </c>
      <c r="F62" s="3" t="s">
        <v>110</v>
      </c>
      <c r="G62" s="4" t="n">
        <v>1.2842</v>
      </c>
      <c r="H62" s="5" t="n">
        <v>28.03</v>
      </c>
      <c r="I62" s="3" t="n">
        <v>19</v>
      </c>
      <c r="J62" s="5" t="n">
        <v>36</v>
      </c>
      <c r="K62" s="5" t="n">
        <f aca="false">ROUND(G62*H62,2)</f>
        <v>36</v>
      </c>
      <c r="L62" s="5" t="n">
        <f aca="false">K62-J62</f>
        <v>0</v>
      </c>
      <c r="M62" s="3" t="str">
        <f aca="false">IF(ABS(L62)&lt;=0.01,"OK","CHECK")</f>
        <v>OK</v>
      </c>
    </row>
    <row r="63" customFormat="false" ht="15" hidden="false" customHeight="true" outlineLevel="0" collapsed="false">
      <c r="A63" s="3" t="s">
        <v>109</v>
      </c>
      <c r="B63" s="3" t="s">
        <v>114</v>
      </c>
      <c r="C63" s="3" t="s">
        <v>44</v>
      </c>
      <c r="D63" s="3" t="s">
        <v>117</v>
      </c>
      <c r="E63" s="3" t="s">
        <v>17</v>
      </c>
      <c r="F63" s="3" t="s">
        <v>110</v>
      </c>
      <c r="G63" s="4" t="n">
        <v>1.7403</v>
      </c>
      <c r="H63" s="5" t="n">
        <v>252.9</v>
      </c>
      <c r="I63" s="3" t="n">
        <v>19</v>
      </c>
      <c r="J63" s="5" t="n">
        <v>440.12</v>
      </c>
      <c r="K63" s="5" t="n">
        <f aca="false">ROUND(G63*H63,2)</f>
        <v>440.12</v>
      </c>
      <c r="L63" s="5" t="n">
        <f aca="false">K63-J63</f>
        <v>0</v>
      </c>
      <c r="M63" s="3" t="str">
        <f aca="false">IF(ABS(L63)&lt;=0.01,"OK","CHECK")</f>
        <v>OK</v>
      </c>
    </row>
    <row r="64" customFormat="false" ht="15" hidden="false" customHeight="true" outlineLevel="0" collapsed="false">
      <c r="A64" s="3" t="s">
        <v>109</v>
      </c>
      <c r="B64" s="3" t="s">
        <v>114</v>
      </c>
      <c r="C64" s="3" t="s">
        <v>82</v>
      </c>
      <c r="D64" s="3" t="s">
        <v>118</v>
      </c>
      <c r="E64" s="3" t="s">
        <v>17</v>
      </c>
      <c r="F64" s="3" t="s">
        <v>110</v>
      </c>
      <c r="G64" s="4" t="n">
        <v>1.7067</v>
      </c>
      <c r="H64" s="5" t="n">
        <v>326.95</v>
      </c>
      <c r="I64" s="3" t="n">
        <v>19</v>
      </c>
      <c r="J64" s="5" t="n">
        <v>558.01</v>
      </c>
      <c r="K64" s="5" t="n">
        <f aca="false">ROUND(G64*H64,2)</f>
        <v>558.01</v>
      </c>
      <c r="L64" s="5" t="n">
        <f aca="false">K64-J64</f>
        <v>0</v>
      </c>
      <c r="M64" s="3" t="str">
        <f aca="false">IF(ABS(L64)&lt;=0.01,"OK","CHECK")</f>
        <v>OK</v>
      </c>
    </row>
    <row r="65" customFormat="false" ht="15" hidden="false" customHeight="true" outlineLevel="0" collapsed="false">
      <c r="A65" s="3" t="s">
        <v>109</v>
      </c>
      <c r="B65" s="3" t="s">
        <v>114</v>
      </c>
      <c r="C65" s="3" t="s">
        <v>82</v>
      </c>
      <c r="D65" s="3" t="s">
        <v>119</v>
      </c>
      <c r="E65" s="3" t="s">
        <v>17</v>
      </c>
      <c r="F65" s="3" t="s">
        <v>110</v>
      </c>
      <c r="G65" s="4" t="n">
        <v>1.7067</v>
      </c>
      <c r="H65" s="5" t="n">
        <v>243.56</v>
      </c>
      <c r="I65" s="3" t="n">
        <v>19</v>
      </c>
      <c r="J65" s="5" t="n">
        <v>415.68</v>
      </c>
      <c r="K65" s="5" t="n">
        <f aca="false">ROUND(G65*H65,2)</f>
        <v>415.68</v>
      </c>
      <c r="L65" s="5" t="n">
        <f aca="false">K65-J65</f>
        <v>0</v>
      </c>
      <c r="M65" s="3" t="str">
        <f aca="false">IF(ABS(L65)&lt;=0.01,"OK","CHECK")</f>
        <v>OK</v>
      </c>
    </row>
    <row r="66" customFormat="false" ht="15" hidden="false" customHeight="true" outlineLevel="0" collapsed="false">
      <c r="A66" s="3" t="s">
        <v>109</v>
      </c>
      <c r="B66" s="3" t="s">
        <v>114</v>
      </c>
      <c r="C66" s="3" t="s">
        <v>79</v>
      </c>
      <c r="D66" s="3" t="s">
        <v>120</v>
      </c>
      <c r="E66" s="3" t="s">
        <v>17</v>
      </c>
      <c r="F66" s="3" t="s">
        <v>110</v>
      </c>
      <c r="G66" s="4" t="n">
        <v>1.6529</v>
      </c>
      <c r="H66" s="5" t="n">
        <v>292.46</v>
      </c>
      <c r="I66" s="3" t="n">
        <v>19</v>
      </c>
      <c r="J66" s="5" t="n">
        <v>483.41</v>
      </c>
      <c r="K66" s="5" t="n">
        <f aca="false">ROUND(G66*H66,2)</f>
        <v>483.41</v>
      </c>
      <c r="L66" s="5" t="n">
        <f aca="false">K66-J66</f>
        <v>0</v>
      </c>
      <c r="M66" s="3" t="str">
        <f aca="false">IF(ABS(L66)&lt;=0.01,"OK","CHECK")</f>
        <v>OK</v>
      </c>
    </row>
    <row r="67" customFormat="false" ht="15" hidden="false" customHeight="true" outlineLevel="0" collapsed="false">
      <c r="A67" s="3" t="s">
        <v>109</v>
      </c>
      <c r="B67" s="3" t="s">
        <v>114</v>
      </c>
      <c r="C67" s="3" t="s">
        <v>35</v>
      </c>
      <c r="D67" s="3" t="s">
        <v>121</v>
      </c>
      <c r="E67" s="3" t="s">
        <v>17</v>
      </c>
      <c r="F67" s="3" t="s">
        <v>110</v>
      </c>
      <c r="G67" s="4" t="n">
        <v>1.6513</v>
      </c>
      <c r="H67" s="5" t="n">
        <v>201.88</v>
      </c>
      <c r="I67" s="3" t="n">
        <v>19</v>
      </c>
      <c r="J67" s="5" t="n">
        <v>333.36</v>
      </c>
      <c r="K67" s="5" t="n">
        <f aca="false">ROUND(G67*H67,2)</f>
        <v>333.36</v>
      </c>
      <c r="L67" s="5" t="n">
        <f aca="false">K67-J67</f>
        <v>0</v>
      </c>
      <c r="M67" s="3" t="str">
        <f aca="false">IF(ABS(L67)&lt;=0.01,"OK","CHECK")</f>
        <v>OK</v>
      </c>
    </row>
  </sheetData>
  <autoFilter ref="A1:M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3"/>
    <col collapsed="false" customWidth="true" hidden="false" outlineLevel="0" max="3" min="3" style="1" width="19"/>
    <col collapsed="false" customWidth="true" hidden="false" outlineLevel="0" max="4" min="4" style="1" width="22"/>
    <col collapsed="false" customWidth="true" hidden="false" outlineLevel="0" max="5" min="5" style="1" width="9"/>
    <col collapsed="false" customWidth="true" hidden="false" outlineLevel="0" max="6" min="6" style="1" width="8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122</v>
      </c>
      <c r="D1" s="2" t="s">
        <v>123</v>
      </c>
      <c r="E1" s="2" t="s">
        <v>11</v>
      </c>
      <c r="F1" s="2" t="s">
        <v>12</v>
      </c>
    </row>
    <row r="2" customFormat="false" ht="15" hidden="false" customHeight="true" outlineLevel="0" collapsed="false">
      <c r="A2" s="3" t="s">
        <v>13</v>
      </c>
      <c r="B2" s="3" t="s">
        <v>14</v>
      </c>
      <c r="C2" s="5" t="n">
        <v>1479.24</v>
      </c>
      <c r="D2" s="5" t="n">
        <f aca="false">ROUND(SUMPRODUCT((Transactions!$A$2:$A$67=A2)*(Transactions!$B$2:$B$67=B2)*Transactions!$J$2:$J$67),2)</f>
        <v>1479.24</v>
      </c>
      <c r="E2" s="5" t="n">
        <f aca="false">D2-C2</f>
        <v>0</v>
      </c>
      <c r="F2" s="3" t="str">
        <f aca="false">IF(ABS(E2)&lt;=0.01,"OK","CHECK")</f>
        <v>OK</v>
      </c>
    </row>
    <row r="3" customFormat="false" ht="15" hidden="false" customHeight="true" outlineLevel="0" collapsed="false">
      <c r="A3" s="3" t="s">
        <v>13</v>
      </c>
      <c r="B3" s="3" t="s">
        <v>21</v>
      </c>
      <c r="C3" s="5" t="n">
        <v>1941.77</v>
      </c>
      <c r="D3" s="5" t="n">
        <f aca="false">ROUND(SUMPRODUCT((Transactions!$A$2:$A$67=A3)*(Transactions!$B$2:$B$67=B3)*Transactions!$J$2:$J$67),2)</f>
        <v>1941.77</v>
      </c>
      <c r="E3" s="5" t="n">
        <f aca="false">D3-C3</f>
        <v>0</v>
      </c>
      <c r="F3" s="3" t="str">
        <f aca="false">IF(ABS(E3)&lt;=0.01,"OK","CHECK")</f>
        <v>OK</v>
      </c>
    </row>
    <row r="4" customFormat="false" ht="15" hidden="false" customHeight="true" outlineLevel="0" collapsed="false">
      <c r="A4" s="3" t="s">
        <v>13</v>
      </c>
      <c r="B4" s="3" t="s">
        <v>26</v>
      </c>
      <c r="C4" s="5" t="n">
        <v>2406.09</v>
      </c>
      <c r="D4" s="5" t="n">
        <f aca="false">ROUND(SUMPRODUCT((Transactions!$A$2:$A$67=A4)*(Transactions!$B$2:$B$67=B4)*Transactions!$J$2:$J$67),2)</f>
        <v>2406.09</v>
      </c>
      <c r="E4" s="5" t="n">
        <f aca="false">D4-C4</f>
        <v>0</v>
      </c>
      <c r="F4" s="3" t="str">
        <f aca="false">IF(ABS(E4)&lt;=0.01,"OK","CHECK")</f>
        <v>OK</v>
      </c>
    </row>
    <row r="5" customFormat="false" ht="15" hidden="false" customHeight="true" outlineLevel="0" collapsed="false">
      <c r="A5" s="3" t="s">
        <v>13</v>
      </c>
      <c r="B5" s="3" t="s">
        <v>30</v>
      </c>
      <c r="C5" s="5" t="n">
        <v>615.94</v>
      </c>
      <c r="D5" s="5" t="n">
        <f aca="false">ROUND(SUMPRODUCT((Transactions!$A$2:$A$67=A5)*(Transactions!$B$2:$B$67=B5)*Transactions!$J$2:$J$67),2)</f>
        <v>615.94</v>
      </c>
      <c r="E5" s="5" t="n">
        <f aca="false">D5-C5</f>
        <v>0</v>
      </c>
      <c r="F5" s="3" t="str">
        <f aca="false">IF(ABS(E5)&lt;=0.01,"OK","CHECK")</f>
        <v>OK</v>
      </c>
    </row>
    <row r="6" customFormat="false" ht="15" hidden="false" customHeight="true" outlineLevel="0" collapsed="false">
      <c r="A6" s="3" t="s">
        <v>13</v>
      </c>
      <c r="B6" s="3" t="s">
        <v>32</v>
      </c>
      <c r="C6" s="5" t="n">
        <v>1449.57</v>
      </c>
      <c r="D6" s="5" t="n">
        <f aca="false">ROUND(SUMPRODUCT((Transactions!$A$2:$A$67=A6)*(Transactions!$B$2:$B$67=B6)*Transactions!$J$2:$J$67),2)</f>
        <v>1449.57</v>
      </c>
      <c r="E6" s="5" t="n">
        <f aca="false">D6-C6</f>
        <v>0</v>
      </c>
      <c r="F6" s="3" t="str">
        <f aca="false">IF(ABS(E6)&lt;=0.01,"OK","CHECK")</f>
        <v>OK</v>
      </c>
    </row>
    <row r="7" customFormat="false" ht="15" hidden="false" customHeight="true" outlineLevel="0" collapsed="false">
      <c r="A7" s="3" t="s">
        <v>13</v>
      </c>
      <c r="B7" s="3" t="s">
        <v>34</v>
      </c>
      <c r="C7" s="5" t="n">
        <v>374.98</v>
      </c>
      <c r="D7" s="5" t="n">
        <f aca="false">ROUND(SUMPRODUCT((Transactions!$A$2:$A$67=A7)*(Transactions!$B$2:$B$67=B7)*Transactions!$J$2:$J$67),2)</f>
        <v>374.98</v>
      </c>
      <c r="E7" s="5" t="n">
        <f aca="false">D7-C7</f>
        <v>0</v>
      </c>
      <c r="F7" s="3" t="str">
        <f aca="false">IF(ABS(E7)&lt;=0.01,"OK","CHECK")</f>
        <v>OK</v>
      </c>
    </row>
    <row r="8" customFormat="false" ht="15" hidden="false" customHeight="true" outlineLevel="0" collapsed="false">
      <c r="A8" s="3" t="s">
        <v>13</v>
      </c>
      <c r="B8" s="3" t="s">
        <v>38</v>
      </c>
      <c r="C8" s="5" t="n">
        <v>1417.93</v>
      </c>
      <c r="D8" s="5" t="n">
        <f aca="false">ROUND(SUMPRODUCT((Transactions!$A$2:$A$67=A8)*(Transactions!$B$2:$B$67=B8)*Transactions!$J$2:$J$67),2)</f>
        <v>1417.93</v>
      </c>
      <c r="E8" s="5" t="n">
        <f aca="false">D8-C8</f>
        <v>0</v>
      </c>
      <c r="F8" s="3" t="str">
        <f aca="false">IF(ABS(E8)&lt;=0.01,"OK","CHECK")</f>
        <v>OK</v>
      </c>
    </row>
    <row r="9" customFormat="false" ht="15" hidden="false" customHeight="true" outlineLevel="0" collapsed="false">
      <c r="A9" s="3" t="s">
        <v>13</v>
      </c>
      <c r="B9" s="3" t="s">
        <v>43</v>
      </c>
      <c r="C9" s="5" t="n">
        <v>1075.69</v>
      </c>
      <c r="D9" s="5" t="n">
        <f aca="false">ROUND(SUMPRODUCT((Transactions!$A$2:$A$67=A9)*(Transactions!$B$2:$B$67=B9)*Transactions!$J$2:$J$67),2)</f>
        <v>1075.69</v>
      </c>
      <c r="E9" s="5" t="n">
        <f aca="false">D9-C9</f>
        <v>0</v>
      </c>
      <c r="F9" s="3" t="str">
        <f aca="false">IF(ABS(E9)&lt;=0.01,"OK","CHECK")</f>
        <v>OK</v>
      </c>
    </row>
    <row r="10" customFormat="false" ht="15" hidden="false" customHeight="true" outlineLevel="0" collapsed="false">
      <c r="A10" s="3" t="s">
        <v>13</v>
      </c>
      <c r="B10" s="3" t="s">
        <v>47</v>
      </c>
      <c r="C10" s="5" t="n">
        <v>761.03</v>
      </c>
      <c r="D10" s="5" t="n">
        <f aca="false">ROUND(SUMPRODUCT((Transactions!$A$2:$A$67=A10)*(Transactions!$B$2:$B$67=B10)*Transactions!$J$2:$J$67),2)</f>
        <v>761.03</v>
      </c>
      <c r="E10" s="5" t="n">
        <f aca="false">D10-C10</f>
        <v>0</v>
      </c>
      <c r="F10" s="3" t="str">
        <f aca="false">IF(ABS(E10)&lt;=0.01,"OK","CHECK")</f>
        <v>OK</v>
      </c>
    </row>
    <row r="11" customFormat="false" ht="15" hidden="false" customHeight="true" outlineLevel="0" collapsed="false">
      <c r="A11" s="3" t="s">
        <v>13</v>
      </c>
      <c r="B11" s="3" t="s">
        <v>52</v>
      </c>
      <c r="C11" s="5" t="n">
        <v>1621.15</v>
      </c>
      <c r="D11" s="5" t="n">
        <f aca="false">ROUND(SUMPRODUCT((Transactions!$A$2:$A$67=A11)*(Transactions!$B$2:$B$67=B11)*Transactions!$J$2:$J$67),2)</f>
        <v>1621.15</v>
      </c>
      <c r="E11" s="5" t="n">
        <f aca="false">D11-C11</f>
        <v>0</v>
      </c>
      <c r="F11" s="3" t="str">
        <f aca="false">IF(ABS(E11)&lt;=0.01,"OK","CHECK")</f>
        <v>OK</v>
      </c>
    </row>
    <row r="12" customFormat="false" ht="15" hidden="false" customHeight="true" outlineLevel="0" collapsed="false">
      <c r="A12" s="3" t="s">
        <v>13</v>
      </c>
      <c r="B12" s="3" t="s">
        <v>58</v>
      </c>
      <c r="C12" s="5" t="n">
        <v>1365.47</v>
      </c>
      <c r="D12" s="5" t="n">
        <f aca="false">ROUND(SUMPRODUCT((Transactions!$A$2:$A$67=A12)*(Transactions!$B$2:$B$67=B12)*Transactions!$J$2:$J$67),2)</f>
        <v>1365.47</v>
      </c>
      <c r="E12" s="5" t="n">
        <f aca="false">D12-C12</f>
        <v>0</v>
      </c>
      <c r="F12" s="3" t="str">
        <f aca="false">IF(ABS(E12)&lt;=0.01,"OK","CHECK")</f>
        <v>OK</v>
      </c>
    </row>
    <row r="13" customFormat="false" ht="15" hidden="false" customHeight="true" outlineLevel="0" collapsed="false">
      <c r="A13" s="3" t="s">
        <v>13</v>
      </c>
      <c r="B13" s="3" t="s">
        <v>62</v>
      </c>
      <c r="C13" s="5" t="n">
        <v>524.66</v>
      </c>
      <c r="D13" s="5" t="n">
        <f aca="false">ROUND(SUMPRODUCT((Transactions!$A$2:$A$67=A13)*(Transactions!$B$2:$B$67=B13)*Transactions!$J$2:$J$67),2)</f>
        <v>524.66</v>
      </c>
      <c r="E13" s="5" t="n">
        <f aca="false">D13-C13</f>
        <v>0</v>
      </c>
      <c r="F13" s="3" t="str">
        <f aca="false">IF(ABS(E13)&lt;=0.01,"OK","CHECK")</f>
        <v>OK</v>
      </c>
    </row>
    <row r="14" customFormat="false" ht="15" hidden="false" customHeight="true" outlineLevel="0" collapsed="false">
      <c r="A14" s="3" t="s">
        <v>13</v>
      </c>
      <c r="B14" s="3" t="s">
        <v>64</v>
      </c>
      <c r="C14" s="5" t="n">
        <v>2456.72</v>
      </c>
      <c r="D14" s="5" t="n">
        <f aca="false">ROUND(SUMPRODUCT((Transactions!$A$2:$A$67=A14)*(Transactions!$B$2:$B$67=B14)*Transactions!$J$2:$J$67),2)</f>
        <v>2456.72</v>
      </c>
      <c r="E14" s="5" t="n">
        <f aca="false">D14-C14</f>
        <v>0</v>
      </c>
      <c r="F14" s="3" t="str">
        <f aca="false">IF(ABS(E14)&lt;=0.01,"OK","CHECK")</f>
        <v>OK</v>
      </c>
    </row>
    <row r="15" customFormat="false" ht="15" hidden="false" customHeight="true" outlineLevel="0" collapsed="false">
      <c r="A15" s="3" t="s">
        <v>13</v>
      </c>
      <c r="B15" s="3" t="s">
        <v>67</v>
      </c>
      <c r="C15" s="5" t="n">
        <v>1558.89</v>
      </c>
      <c r="D15" s="5" t="n">
        <f aca="false">ROUND(SUMPRODUCT((Transactions!$A$2:$A$67=A15)*(Transactions!$B$2:$B$67=B15)*Transactions!$J$2:$J$67),2)</f>
        <v>1558.89</v>
      </c>
      <c r="E15" s="5" t="n">
        <f aca="false">D15-C15</f>
        <v>0</v>
      </c>
      <c r="F15" s="3" t="str">
        <f aca="false">IF(ABS(E15)&lt;=0.01,"OK","CHECK")</f>
        <v>OK</v>
      </c>
    </row>
    <row r="16" customFormat="false" ht="15" hidden="false" customHeight="true" outlineLevel="0" collapsed="false">
      <c r="A16" s="3" t="s">
        <v>13</v>
      </c>
      <c r="B16" s="3" t="s">
        <v>71</v>
      </c>
      <c r="C16" s="5" t="n">
        <v>1596.41</v>
      </c>
      <c r="D16" s="5" t="n">
        <f aca="false">ROUND(SUMPRODUCT((Transactions!$A$2:$A$67=A16)*(Transactions!$B$2:$B$67=B16)*Transactions!$J$2:$J$67),2)</f>
        <v>1596.41</v>
      </c>
      <c r="E16" s="5" t="n">
        <f aca="false">D16-C16</f>
        <v>0</v>
      </c>
      <c r="F16" s="3" t="str">
        <f aca="false">IF(ABS(E16)&lt;=0.01,"OK","CHECK")</f>
        <v>OK</v>
      </c>
    </row>
    <row r="17" customFormat="false" ht="15" hidden="false" customHeight="true" outlineLevel="0" collapsed="false">
      <c r="A17" s="3" t="s">
        <v>13</v>
      </c>
      <c r="B17" s="3" t="s">
        <v>77</v>
      </c>
      <c r="C17" s="5" t="n">
        <v>2826</v>
      </c>
      <c r="D17" s="5" t="n">
        <f aca="false">ROUND(SUMPRODUCT((Transactions!$A$2:$A$67=A17)*(Transactions!$B$2:$B$67=B17)*Transactions!$J$2:$J$67),2)</f>
        <v>2826</v>
      </c>
      <c r="E17" s="5" t="n">
        <f aca="false">D17-C17</f>
        <v>0</v>
      </c>
      <c r="F17" s="3" t="str">
        <f aca="false">IF(ABS(E17)&lt;=0.01,"OK","CHECK")</f>
        <v>OK</v>
      </c>
    </row>
    <row r="18" customFormat="false" ht="15" hidden="false" customHeight="true" outlineLevel="0" collapsed="false">
      <c r="A18" s="3" t="s">
        <v>13</v>
      </c>
      <c r="B18" s="3" t="s">
        <v>81</v>
      </c>
      <c r="C18" s="5" t="n">
        <v>3687.95</v>
      </c>
      <c r="D18" s="5" t="n">
        <f aca="false">ROUND(SUMPRODUCT((Transactions!$A$2:$A$67=A18)*(Transactions!$B$2:$B$67=B18)*Transactions!$J$2:$J$67),2)</f>
        <v>3687.95</v>
      </c>
      <c r="E18" s="5" t="n">
        <f aca="false">D18-C18</f>
        <v>0</v>
      </c>
      <c r="F18" s="3" t="str">
        <f aca="false">IF(ABS(E18)&lt;=0.01,"OK","CHECK")</f>
        <v>OK</v>
      </c>
    </row>
    <row r="19" customFormat="false" ht="15" hidden="false" customHeight="true" outlineLevel="0" collapsed="false">
      <c r="A19" s="3" t="s">
        <v>13</v>
      </c>
      <c r="B19" s="3" t="s">
        <v>87</v>
      </c>
      <c r="C19" s="5" t="n">
        <v>1921</v>
      </c>
      <c r="D19" s="5" t="n">
        <f aca="false">ROUND(SUMPRODUCT((Transactions!$A$2:$A$67=A19)*(Transactions!$B$2:$B$67=B19)*Transactions!$J$2:$J$67),2)</f>
        <v>1921</v>
      </c>
      <c r="E19" s="5" t="n">
        <f aca="false">D19-C19</f>
        <v>0</v>
      </c>
      <c r="F19" s="3" t="str">
        <f aca="false">IF(ABS(E19)&lt;=0.01,"OK","CHECK")</f>
        <v>OK</v>
      </c>
    </row>
    <row r="20" customFormat="false" ht="15" hidden="false" customHeight="true" outlineLevel="0" collapsed="false">
      <c r="A20" s="3" t="s">
        <v>13</v>
      </c>
      <c r="B20" s="3" t="s">
        <v>89</v>
      </c>
      <c r="C20" s="5" t="n">
        <v>1591.19</v>
      </c>
      <c r="D20" s="5" t="n">
        <f aca="false">ROUND(SUMPRODUCT((Transactions!$A$2:$A$67=A20)*(Transactions!$B$2:$B$67=B20)*Transactions!$J$2:$J$67),2)</f>
        <v>1591.19</v>
      </c>
      <c r="E20" s="5" t="n">
        <f aca="false">D20-C20</f>
        <v>0</v>
      </c>
      <c r="F20" s="3" t="str">
        <f aca="false">IF(ABS(E20)&lt;=0.01,"OK","CHECK")</f>
        <v>OK</v>
      </c>
    </row>
    <row r="21" customFormat="false" ht="15" hidden="false" customHeight="true" outlineLevel="0" collapsed="false">
      <c r="A21" s="3" t="s">
        <v>13</v>
      </c>
      <c r="B21" s="3" t="s">
        <v>93</v>
      </c>
      <c r="C21" s="5" t="n">
        <v>1364.3</v>
      </c>
      <c r="D21" s="5" t="n">
        <f aca="false">ROUND(SUMPRODUCT((Transactions!$A$2:$A$67=A21)*(Transactions!$B$2:$B$67=B21)*Transactions!$J$2:$J$67),2)</f>
        <v>1364.3</v>
      </c>
      <c r="E21" s="5" t="n">
        <f aca="false">D21-C21</f>
        <v>0</v>
      </c>
      <c r="F21" s="3" t="str">
        <f aca="false">IF(ABS(E21)&lt;=0.01,"OK","CHECK")</f>
        <v>OK</v>
      </c>
    </row>
    <row r="22" customFormat="false" ht="15" hidden="false" customHeight="true" outlineLevel="0" collapsed="false">
      <c r="A22" s="3" t="s">
        <v>13</v>
      </c>
      <c r="B22" s="3" t="s">
        <v>95</v>
      </c>
      <c r="C22" s="5" t="n">
        <v>453.1</v>
      </c>
      <c r="D22" s="5" t="n">
        <f aca="false">ROUND(SUMPRODUCT((Transactions!$A$2:$A$67=A22)*(Transactions!$B$2:$B$67=B22)*Transactions!$J$2:$J$67),2)</f>
        <v>453.1</v>
      </c>
      <c r="E22" s="5" t="n">
        <f aca="false">D22-C22</f>
        <v>0</v>
      </c>
      <c r="F22" s="3" t="str">
        <f aca="false">IF(ABS(E22)&lt;=0.01,"OK","CHECK")</f>
        <v>OK</v>
      </c>
    </row>
    <row r="23" customFormat="false" ht="15" hidden="false" customHeight="true" outlineLevel="0" collapsed="false">
      <c r="A23" s="3" t="s">
        <v>13</v>
      </c>
      <c r="B23" s="3" t="s">
        <v>98</v>
      </c>
      <c r="C23" s="5" t="n">
        <v>2216.86</v>
      </c>
      <c r="D23" s="5" t="n">
        <f aca="false">ROUND(SUMPRODUCT((Transactions!$A$2:$A$67=A23)*(Transactions!$B$2:$B$67=B23)*Transactions!$J$2:$J$67),2)</f>
        <v>2216.86</v>
      </c>
      <c r="E23" s="5" t="n">
        <f aca="false">D23-C23</f>
        <v>0</v>
      </c>
      <c r="F23" s="3" t="str">
        <f aca="false">IF(ABS(E23)&lt;=0.01,"OK","CHECK")</f>
        <v>OK</v>
      </c>
    </row>
    <row r="24" customFormat="false" ht="15" hidden="false" customHeight="true" outlineLevel="0" collapsed="false">
      <c r="A24" s="3" t="s">
        <v>13</v>
      </c>
      <c r="B24" s="3" t="s">
        <v>101</v>
      </c>
      <c r="C24" s="5" t="n">
        <v>802.05</v>
      </c>
      <c r="D24" s="5" t="n">
        <f aca="false">ROUND(SUMPRODUCT((Transactions!$A$2:$A$67=A24)*(Transactions!$B$2:$B$67=B24)*Transactions!$J$2:$J$67),2)</f>
        <v>802.05</v>
      </c>
      <c r="E24" s="5" t="n">
        <f aca="false">D24-C24</f>
        <v>0</v>
      </c>
      <c r="F24" s="3" t="str">
        <f aca="false">IF(ABS(E24)&lt;=0.01,"OK","CHECK")</f>
        <v>OK</v>
      </c>
    </row>
    <row r="25" customFormat="false" ht="15" hidden="false" customHeight="true" outlineLevel="0" collapsed="false">
      <c r="A25" s="3" t="s">
        <v>13</v>
      </c>
      <c r="B25" s="3" t="s">
        <v>105</v>
      </c>
      <c r="C25" s="5" t="n">
        <v>2447.71</v>
      </c>
      <c r="D25" s="5" t="n">
        <f aca="false">ROUND(SUMPRODUCT((Transactions!$A$2:$A$67=A25)*(Transactions!$B$2:$B$67=B25)*Transactions!$J$2:$J$67),2)</f>
        <v>2447.71</v>
      </c>
      <c r="E25" s="5" t="n">
        <f aca="false">D25-C25</f>
        <v>0</v>
      </c>
      <c r="F25" s="3" t="str">
        <f aca="false">IF(ABS(E25)&lt;=0.01,"OK","CHECK")</f>
        <v>OK</v>
      </c>
    </row>
    <row r="26" customFormat="false" ht="15" hidden="false" customHeight="true" outlineLevel="0" collapsed="false">
      <c r="A26" s="3" t="s">
        <v>109</v>
      </c>
      <c r="B26" s="3" t="s">
        <v>62</v>
      </c>
      <c r="C26" s="5" t="n">
        <v>2006.96</v>
      </c>
      <c r="D26" s="5" t="n">
        <f aca="false">ROUND(SUMPRODUCT((Transactions!$A$2:$A$67=A26)*(Transactions!$B$2:$B$67=B26)*Transactions!$J$2:$J$67),2)</f>
        <v>2006.96</v>
      </c>
      <c r="E26" s="5" t="n">
        <f aca="false">D26-C26</f>
        <v>0</v>
      </c>
      <c r="F26" s="3" t="str">
        <f aca="false">IF(ABS(E26)&lt;=0.01,"OK","CHECK")</f>
        <v>OK</v>
      </c>
    </row>
    <row r="27" customFormat="false" ht="15" hidden="false" customHeight="true" outlineLevel="0" collapsed="false">
      <c r="A27" s="3" t="s">
        <v>109</v>
      </c>
      <c r="B27" s="3" t="s">
        <v>114</v>
      </c>
      <c r="C27" s="5" t="n">
        <v>2285.86</v>
      </c>
      <c r="D27" s="5" t="n">
        <f aca="false">ROUND(SUMPRODUCT((Transactions!$A$2:$A$67=A27)*(Transactions!$B$2:$B$67=B27)*Transactions!$J$2:$J$67),2)</f>
        <v>2285.86</v>
      </c>
      <c r="E27" s="5" t="n">
        <f aca="false">D27-C27</f>
        <v>0</v>
      </c>
      <c r="F27" s="3" t="str">
        <f aca="false">IF(ABS(E27)&lt;=0.01,"OK","CHECK")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5" min="5" style="1" width="8"/>
  </cols>
  <sheetData>
    <row r="1" customFormat="false" ht="15" hidden="false" customHeight="true" outlineLevel="0" collapsed="false">
      <c r="A1" s="6" t="s">
        <v>124</v>
      </c>
      <c r="B1" s="6" t="s">
        <v>125</v>
      </c>
      <c r="C1" s="6" t="s">
        <v>126</v>
      </c>
      <c r="D1" s="6" t="s">
        <v>127</v>
      </c>
      <c r="E1" s="6" t="s">
        <v>12</v>
      </c>
    </row>
    <row r="2" customFormat="false" ht="15" hidden="false" customHeight="true" outlineLevel="0" collapsed="false">
      <c r="A2" s="3" t="s">
        <v>128</v>
      </c>
      <c r="B2" s="5" t="n">
        <v>301.15</v>
      </c>
      <c r="C2" s="5" t="n">
        <f aca="false">ROUND(SUMPRODUCT((Transactions!$A$2:$A$67="BEOI00118939/DE")*(Transactions!$E$2:$E$67="AdBlue")*Transactions!$H$2:$H$67),2)</f>
        <v>301.15</v>
      </c>
      <c r="D2" s="5" t="n">
        <f aca="false">C2-B2</f>
        <v>0</v>
      </c>
      <c r="E2" s="3" t="str">
        <f aca="false">IF(ABS(D2)&lt;=0.01,"OK","CHECK")</f>
        <v>OK</v>
      </c>
    </row>
    <row r="3" customFormat="false" ht="15" hidden="false" customHeight="true" outlineLevel="0" collapsed="false">
      <c r="A3" s="3" t="s">
        <v>129</v>
      </c>
      <c r="B3" s="5" t="n">
        <v>21337.55</v>
      </c>
      <c r="C3" s="5" t="n">
        <f aca="false">ROUND(SUMPRODUCT((Transactions!$A$2:$A$67="BEOI00118939/DE")*(Transactions!$E$2:$E$67="DIESEL")*Transactions!$H$2:$H$67),2)</f>
        <v>21337.55</v>
      </c>
      <c r="D3" s="5" t="n">
        <f aca="false">C3-B3</f>
        <v>0</v>
      </c>
      <c r="E3" s="3" t="str">
        <f aca="false">IF(ABS(D3)&lt;=0.01,"OK","CHECK")</f>
        <v>OK</v>
      </c>
    </row>
    <row r="4" customFormat="false" ht="15" hidden="false" customHeight="true" outlineLevel="0" collapsed="false">
      <c r="A4" s="3" t="s">
        <v>130</v>
      </c>
      <c r="B4" s="5" t="n">
        <v>37955.7</v>
      </c>
      <c r="C4" s="5" t="n">
        <f aca="false">ROUND(SUMIF(Transactions!$A$2:$A$67,"BEOI00118939/DE",Transactions!$J$2:$J$67),2)</f>
        <v>37955.7</v>
      </c>
      <c r="D4" s="5" t="n">
        <f aca="false">C4-B4</f>
        <v>0</v>
      </c>
      <c r="E4" s="3" t="str">
        <f aca="false">IF(ABS(D4)&lt;=0.01,"OK","CHECK")</f>
        <v>OK</v>
      </c>
    </row>
    <row r="5" customFormat="false" ht="15" hidden="false" customHeight="true" outlineLevel="0" collapsed="false">
      <c r="A5" s="3" t="s">
        <v>131</v>
      </c>
      <c r="B5" s="5" t="n">
        <v>7970.68</v>
      </c>
      <c r="C5" s="5" t="n">
        <f aca="false">ROUND(C4*0.21,2)</f>
        <v>7970.7</v>
      </c>
      <c r="D5" s="5" t="n">
        <f aca="false">C5-B5</f>
        <v>0.0199999999995271</v>
      </c>
      <c r="E5" s="3" t="str">
        <f aca="false">IF(ABS(D5)&lt;=0.05,"OK (rounding)","CHECK")</f>
        <v>OK (rounding)</v>
      </c>
    </row>
    <row r="6" customFormat="false" ht="15" hidden="false" customHeight="true" outlineLevel="0" collapsed="false">
      <c r="A6" s="3" t="s">
        <v>132</v>
      </c>
      <c r="B6" s="5" t="n">
        <v>45926.38</v>
      </c>
      <c r="C6" s="5" t="n">
        <f aca="false">C4+C5</f>
        <v>45926.4</v>
      </c>
      <c r="D6" s="5" t="n">
        <f aca="false">C6-B6</f>
        <v>0.0199999999967986</v>
      </c>
      <c r="E6" s="3" t="str">
        <f aca="false">IF(ABS(D6)&lt;=0.05,"OK (rounding)","CHECK")</f>
        <v>OK (rounding)</v>
      </c>
    </row>
    <row r="7" customFormat="false" ht="15" hidden="false" customHeight="true" outlineLevel="0" collapsed="false">
      <c r="A7" s="3" t="s">
        <v>133</v>
      </c>
      <c r="B7" s="5" t="n">
        <v>149.51</v>
      </c>
      <c r="C7" s="5" t="n">
        <f aca="false">ROUND(SUMPRODUCT((Transactions!$A$2:$A$67="DEVR00473179")*(Transactions!$E$2:$E$67="AdBlue")*Transactions!$H$2:$H$67),2)</f>
        <v>149.51</v>
      </c>
      <c r="D7" s="5" t="n">
        <f aca="false">C7-B7</f>
        <v>0</v>
      </c>
      <c r="E7" s="3" t="str">
        <f aca="false">IF(ABS(D7)&lt;=0.01,"OK","CHECK")</f>
        <v>OK</v>
      </c>
    </row>
    <row r="8" customFormat="false" ht="15" hidden="false" customHeight="true" outlineLevel="0" collapsed="false">
      <c r="A8" s="3" t="s">
        <v>134</v>
      </c>
      <c r="B8" s="5" t="n">
        <v>2425.82</v>
      </c>
      <c r="C8" s="5" t="n">
        <f aca="false">ROUND(SUMPRODUCT((Transactions!$A$2:$A$67="DEVR00473179")*(Transactions!$E$2:$E$67="DIESEL")*Transactions!$H$2:$H$67),2)</f>
        <v>2425.82</v>
      </c>
      <c r="D8" s="5" t="n">
        <f aca="false">C8-B8</f>
        <v>0</v>
      </c>
      <c r="E8" s="3" t="str">
        <f aca="false">IF(ABS(D8)&lt;=0.01,"OK","CHECK")</f>
        <v>OK</v>
      </c>
    </row>
    <row r="9" customFormat="false" ht="15" hidden="false" customHeight="true" outlineLevel="0" collapsed="false">
      <c r="A9" s="3" t="s">
        <v>135</v>
      </c>
      <c r="B9" s="5" t="n">
        <v>4292.82</v>
      </c>
      <c r="C9" s="5" t="n">
        <f aca="false">ROUND(SUMIF(Transactions!$A$2:$A$67,"DEVR00473179",Transactions!$J$2:$J$67),2)</f>
        <v>4292.82</v>
      </c>
      <c r="D9" s="5" t="n">
        <f aca="false">C9-B9</f>
        <v>0</v>
      </c>
      <c r="E9" s="3" t="str">
        <f aca="false">IF(ABS(D9)&lt;=0.01,"OK","CHECK")</f>
        <v>OK</v>
      </c>
    </row>
    <row r="10" customFormat="false" ht="15" hidden="false" customHeight="true" outlineLevel="0" collapsed="false">
      <c r="A10" s="3" t="s">
        <v>136</v>
      </c>
      <c r="B10" s="5" t="n">
        <v>815.63</v>
      </c>
      <c r="C10" s="5" t="n">
        <f aca="false">ROUND(C9*0.19,2)</f>
        <v>815.64</v>
      </c>
      <c r="D10" s="5" t="n">
        <f aca="false">C10-B10</f>
        <v>0.00999999999999091</v>
      </c>
      <c r="E10" s="3" t="str">
        <f aca="false">IF(ABS(D10)&lt;=0.05,"OK (rounding)","CHECK")</f>
        <v>OK (rounding)</v>
      </c>
    </row>
    <row r="11" customFormat="false" ht="15" hidden="false" customHeight="true" outlineLevel="0" collapsed="false">
      <c r="A11" s="3" t="s">
        <v>137</v>
      </c>
      <c r="B11" s="5" t="n">
        <v>5108.45</v>
      </c>
      <c r="C11" s="5" t="n">
        <f aca="false">C9+C10</f>
        <v>5108.46</v>
      </c>
      <c r="D11" s="5" t="n">
        <f aca="false">C11-B11</f>
        <v>0.0100000000002183</v>
      </c>
      <c r="E11" s="3" t="str">
        <f aca="false">IF(ABS(D11)&lt;=0.05,"OK (rounding)","CHECK")</f>
        <v>OK (rounding)</v>
      </c>
    </row>
    <row r="12" customFormat="false" ht="15" hidden="false" customHeight="true" outlineLevel="0" collapsed="false">
      <c r="A12" s="3" t="s">
        <v>138</v>
      </c>
      <c r="B12" s="5" t="n">
        <v>51034.83</v>
      </c>
      <c r="C12" s="5" t="n">
        <f aca="false">C6+C11</f>
        <v>51034.86</v>
      </c>
      <c r="D12" s="5" t="n">
        <f aca="false">C12-B12</f>
        <v>0.0299999999915599</v>
      </c>
      <c r="E12" s="3" t="str">
        <f aca="false">IF(ABS(D12)&lt;=0.05,"OK (rounding)","CHECK")</f>
        <v>OK (rounding)</v>
      </c>
    </row>
    <row r="14" customFormat="false" ht="15" hidden="false" customHeight="false" outlineLevel="0" collapsed="false">
      <c r="A14" s="7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2026-06-11T04:29:23Z</dcterms:created>
  <dc:creator>openpyxl</dc:creator>
  <dc:description/>
  <dc:language>en-US</dc:language>
  <cp:lastModifiedBy/>
  <dcterms:modified xsi:type="dcterms:W3CDTF">2026-06-11T04:29:40Z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