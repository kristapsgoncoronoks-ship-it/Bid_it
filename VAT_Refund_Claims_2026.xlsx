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Jupiter-Austria-Q2" sheetId="2" state="visible" r:id="rId2"/>
    <sheet name="Jupiter-Belgium-Q2" sheetId="3" state="visible" r:id="rId3"/>
    <sheet name="Jupiter-Denmark-Q2" sheetId="4" state="visible" r:id="rId4"/>
    <sheet name="Jupiter-France-Q2" sheetId="5" state="visible" r:id="rId5"/>
    <sheet name="Jupiter-Germany-Q2" sheetId="6" state="visible" r:id="rId6"/>
    <sheet name="Jupiter-Poland-Q2" sheetId="7" state="visible" r:id="rId7"/>
    <sheet name="Jupiter-Spain-Q2" sheetId="8" state="visible" r:id="rId8"/>
    <sheet name="Jupiter-Sweden-Q2" sheetId="9" state="visible" r:id="rId9"/>
    <sheet name="OMUSS-Poland-Q2" sheetId="10" state="visible" r:id="rId10"/>
    <sheet name="Motiejausko-Belgium-Q2" sheetId="11" state="visible" r:id="rId11"/>
    <sheet name="Vestroidas-Belgium-Q2" sheetId="12" state="visible" r:id="rId12"/>
    <sheet name="Zaukos-Spain-Q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i val="1"/>
      <sz val="8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5B3A8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4" fontId="3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5" fillId="0" borderId="0" pivotButton="0" quotePrefix="0" xfId="0"/>
    <xf numFmtId="0" fontId="3" fillId="4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1" customWidth="1" min="4" max="4"/>
    <col width="12" customWidth="1" min="5" max="5"/>
    <col width="6" customWidth="1" min="6" max="6"/>
    <col width="9" customWidth="1" min="7" max="7"/>
    <col width="34" customWidth="1" min="8" max="8"/>
    <col width="18" customWidth="1" min="9" max="9"/>
    <col width="30" customWidth="1" min="10" max="10"/>
    <col width="10" customWidth="1" min="11" max="11"/>
  </cols>
  <sheetData>
    <row r="1">
      <c r="A1" s="1" t="inlineStr">
        <is>
          <t>VAT REFUND APPLICATIONS 2026 - EU Directive 2008/9/EC (deadline 2027-09-30)</t>
        </is>
      </c>
    </row>
    <row r="3">
      <c r="A3" s="2" t="inlineStr">
        <is>
          <t>Entity</t>
        </is>
      </c>
      <c r="B3" s="2" t="inlineStr">
        <is>
          <t>Refund country</t>
        </is>
      </c>
      <c r="C3" s="2" t="inlineStr">
        <is>
          <t>Period</t>
        </is>
      </c>
      <c r="D3" s="2" t="inlineStr">
        <is>
          <t>VAT EUR</t>
        </is>
      </c>
      <c r="E3" s="2" t="inlineStr">
        <is>
          <t>VAT local</t>
        </is>
      </c>
      <c r="F3" s="2" t="inlineStr">
        <is>
          <t>Ccy</t>
        </is>
      </c>
      <c r="G3" s="2" t="inlineStr">
        <is>
          <t>Txn lines</t>
        </is>
      </c>
      <c r="H3" s="2" t="inlineStr">
        <is>
          <t>Threshold verdict</t>
        </is>
      </c>
      <c r="I3" s="2" t="inlineStr">
        <is>
          <t>Months not yet loaded</t>
        </is>
      </c>
      <c r="J3" s="2" t="inlineStr">
        <is>
          <t>Home portal</t>
        </is>
      </c>
      <c r="K3" s="2" t="inlineStr">
        <is>
          <t>Status</t>
        </is>
      </c>
    </row>
    <row r="4">
      <c r="A4" s="3" t="inlineStr">
        <is>
          <t>Jupiter Plus AS</t>
        </is>
      </c>
      <c r="B4" s="3" t="inlineStr">
        <is>
          <t>Austria</t>
        </is>
      </c>
      <c r="C4" s="3" t="inlineStr">
        <is>
          <t>2026-Q2</t>
        </is>
      </c>
      <c r="D4" s="4" t="n">
        <v>194.59</v>
      </c>
      <c r="E4" s="4" t="n">
        <v>194.59</v>
      </c>
      <c r="F4" s="3" t="inlineStr">
        <is>
          <t>EUR</t>
        </is>
      </c>
      <c r="G4" s="3" t="n">
        <v>2</v>
      </c>
      <c r="H4" s="3" t="inlineStr">
        <is>
          <t>DEFER TO ANNUAL (below 400, year &gt;= 50)</t>
        </is>
      </c>
      <c r="I4" s="5" t="inlineStr">
        <is>
          <t>2026-04, 2026-06</t>
        </is>
      </c>
      <c r="J4" s="3" t="inlineStr">
        <is>
          <t>Estonian e-MTA (emta.ee)</t>
        </is>
      </c>
      <c r="K4" s="3" t="inlineStr">
        <is>
          <t>draft</t>
        </is>
      </c>
    </row>
    <row r="5">
      <c r="A5" s="3" t="inlineStr">
        <is>
          <t>Jupiter Plus AS</t>
        </is>
      </c>
      <c r="B5" s="3" t="inlineStr">
        <is>
          <t>Austria</t>
        </is>
      </c>
      <c r="C5" s="3" t="inlineStr">
        <is>
          <t>2026-YEAR</t>
        </is>
      </c>
      <c r="D5" s="4" t="n">
        <v>194.59</v>
      </c>
      <c r="E5" s="4" t="n">
        <v>194.59</v>
      </c>
      <c r="F5" s="3" t="inlineStr">
        <is>
          <t>EUR</t>
        </is>
      </c>
      <c r="G5" s="3" t="n">
        <v>2</v>
      </c>
      <c r="H5" s="3" t="inlineStr">
        <is>
          <t>READY (annual &gt;= 50 EUR)</t>
        </is>
      </c>
      <c r="I5" s="3" t="inlineStr"/>
      <c r="J5" s="3" t="inlineStr">
        <is>
          <t>Estonian e-MTA (emta.ee)</t>
        </is>
      </c>
      <c r="K5" s="3" t="inlineStr">
        <is>
          <t>draft</t>
        </is>
      </c>
    </row>
    <row r="6">
      <c r="A6" s="3" t="inlineStr">
        <is>
          <t>Jupiter Plus AS</t>
        </is>
      </c>
      <c r="B6" s="3" t="inlineStr">
        <is>
          <t>Belgium</t>
        </is>
      </c>
      <c r="C6" s="3" t="inlineStr">
        <is>
          <t>2026-Q2</t>
        </is>
      </c>
      <c r="D6" s="4" t="n">
        <v>7970.7</v>
      </c>
      <c r="E6" s="4" t="n">
        <v>7970.7</v>
      </c>
      <c r="F6" s="3" t="inlineStr">
        <is>
          <t>EUR</t>
        </is>
      </c>
      <c r="G6" s="3" t="n">
        <v>54</v>
      </c>
      <c r="H6" s="3" t="inlineStr">
        <is>
          <t>READY (&gt;= 400 EUR quarterly min)</t>
        </is>
      </c>
      <c r="I6" s="5" t="inlineStr">
        <is>
          <t>2026-04, 2026-06</t>
        </is>
      </c>
      <c r="J6" s="3" t="inlineStr">
        <is>
          <t>Estonian e-MTA (emta.ee)</t>
        </is>
      </c>
      <c r="K6" s="3" t="inlineStr">
        <is>
          <t>draft</t>
        </is>
      </c>
    </row>
    <row r="7">
      <c r="A7" s="3" t="inlineStr">
        <is>
          <t>Jupiter Plus AS</t>
        </is>
      </c>
      <c r="B7" s="3" t="inlineStr">
        <is>
          <t>Belgium</t>
        </is>
      </c>
      <c r="C7" s="3" t="inlineStr">
        <is>
          <t>2026-YEAR</t>
        </is>
      </c>
      <c r="D7" s="4" t="n">
        <v>7970.7</v>
      </c>
      <c r="E7" s="4" t="n">
        <v>7970.7</v>
      </c>
      <c r="F7" s="3" t="inlineStr">
        <is>
          <t>EUR</t>
        </is>
      </c>
      <c r="G7" s="3" t="n">
        <v>54</v>
      </c>
      <c r="H7" s="3" t="inlineStr">
        <is>
          <t>READY (annual &gt;= 50 EUR)</t>
        </is>
      </c>
      <c r="I7" s="3" t="inlineStr"/>
      <c r="J7" s="3" t="inlineStr">
        <is>
          <t>Estonian e-MTA (emta.ee)</t>
        </is>
      </c>
      <c r="K7" s="3" t="inlineStr">
        <is>
          <t>draft</t>
        </is>
      </c>
    </row>
    <row r="8">
      <c r="A8" s="3" t="inlineStr">
        <is>
          <t>Jupiter Plus AS</t>
        </is>
      </c>
      <c r="B8" s="3" t="inlineStr">
        <is>
          <t>Denmark</t>
        </is>
      </c>
      <c r="C8" s="3" t="inlineStr">
        <is>
          <t>2026-Q2</t>
        </is>
      </c>
      <c r="D8" s="4" t="n">
        <v>981.64</v>
      </c>
      <c r="E8" s="6" t="inlineStr">
        <is>
          <t>INPUT DKK</t>
        </is>
      </c>
      <c r="F8" s="3" t="inlineStr">
        <is>
          <t>DKK</t>
        </is>
      </c>
      <c r="G8" s="3" t="n">
        <v>9</v>
      </c>
      <c r="H8" s="3" t="inlineStr">
        <is>
          <t>READY (&gt;= 400 EUR quarterly min)</t>
        </is>
      </c>
      <c r="I8" s="5" t="inlineStr">
        <is>
          <t>2026-04, 2026-06</t>
        </is>
      </c>
      <c r="J8" s="3" t="inlineStr">
        <is>
          <t>Estonian e-MTA (emta.ee)</t>
        </is>
      </c>
      <c r="K8" s="3" t="inlineStr">
        <is>
          <t>draft</t>
        </is>
      </c>
    </row>
    <row r="9">
      <c r="A9" s="3" t="inlineStr">
        <is>
          <t>Jupiter Plus AS</t>
        </is>
      </c>
      <c r="B9" s="3" t="inlineStr">
        <is>
          <t>Denmark</t>
        </is>
      </c>
      <c r="C9" s="3" t="inlineStr">
        <is>
          <t>2026-YEAR</t>
        </is>
      </c>
      <c r="D9" s="4" t="n">
        <v>981.64</v>
      </c>
      <c r="E9" s="4" t="n">
        <v>981.64</v>
      </c>
      <c r="F9" s="3" t="inlineStr">
        <is>
          <t>DKK</t>
        </is>
      </c>
      <c r="G9" s="3" t="n">
        <v>9</v>
      </c>
      <c r="H9" s="3" t="inlineStr">
        <is>
          <t>READY (annual &gt;= 50 EUR)</t>
        </is>
      </c>
      <c r="I9" s="3" t="inlineStr"/>
      <c r="J9" s="3" t="inlineStr">
        <is>
          <t>Estonian e-MTA (emta.ee)</t>
        </is>
      </c>
      <c r="K9" s="3" t="inlineStr">
        <is>
          <t>draft</t>
        </is>
      </c>
    </row>
    <row r="10">
      <c r="A10" s="3" t="inlineStr">
        <is>
          <t>Jupiter Plus AS</t>
        </is>
      </c>
      <c r="B10" s="3" t="inlineStr">
        <is>
          <t>France</t>
        </is>
      </c>
      <c r="C10" s="3" t="inlineStr">
        <is>
          <t>2026-Q2</t>
        </is>
      </c>
      <c r="D10" s="4" t="n">
        <v>584.55</v>
      </c>
      <c r="E10" s="4" t="n">
        <v>584.55</v>
      </c>
      <c r="F10" s="3" t="inlineStr">
        <is>
          <t>EUR</t>
        </is>
      </c>
      <c r="G10" s="3" t="n">
        <v>4</v>
      </c>
      <c r="H10" s="3" t="inlineStr">
        <is>
          <t>READY (&gt;= 400 EUR quarterly min)</t>
        </is>
      </c>
      <c r="I10" s="5" t="inlineStr">
        <is>
          <t>2026-04, 2026-06</t>
        </is>
      </c>
      <c r="J10" s="3" t="inlineStr">
        <is>
          <t>Estonian e-MTA (emta.ee)</t>
        </is>
      </c>
      <c r="K10" s="3" t="inlineStr">
        <is>
          <t>draft</t>
        </is>
      </c>
    </row>
    <row r="11">
      <c r="A11" s="3" t="inlineStr">
        <is>
          <t>Jupiter Plus AS</t>
        </is>
      </c>
      <c r="B11" s="3" t="inlineStr">
        <is>
          <t>France</t>
        </is>
      </c>
      <c r="C11" s="3" t="inlineStr">
        <is>
          <t>2026-YEAR</t>
        </is>
      </c>
      <c r="D11" s="4" t="n">
        <v>584.55</v>
      </c>
      <c r="E11" s="4" t="n">
        <v>584.55</v>
      </c>
      <c r="F11" s="3" t="inlineStr">
        <is>
          <t>EUR</t>
        </is>
      </c>
      <c r="G11" s="3" t="n">
        <v>4</v>
      </c>
      <c r="H11" s="3" t="inlineStr">
        <is>
          <t>READY (annual &gt;= 50 EUR)</t>
        </is>
      </c>
      <c r="I11" s="3" t="inlineStr"/>
      <c r="J11" s="3" t="inlineStr">
        <is>
          <t>Estonian e-MTA (emta.ee)</t>
        </is>
      </c>
      <c r="K11" s="3" t="inlineStr">
        <is>
          <t>draft</t>
        </is>
      </c>
    </row>
    <row r="12">
      <c r="A12" s="3" t="inlineStr">
        <is>
          <t>Jupiter Plus AS</t>
        </is>
      </c>
      <c r="B12" s="3" t="inlineStr">
        <is>
          <t>Germany</t>
        </is>
      </c>
      <c r="C12" s="3" t="inlineStr">
        <is>
          <t>2026-Q2</t>
        </is>
      </c>
      <c r="D12" s="4" t="n">
        <v>815.63</v>
      </c>
      <c r="E12" s="4" t="n">
        <v>815.63</v>
      </c>
      <c r="F12" s="3" t="inlineStr">
        <is>
          <t>EUR</t>
        </is>
      </c>
      <c r="G12" s="3" t="n">
        <v>12</v>
      </c>
      <c r="H12" s="3" t="inlineStr">
        <is>
          <t>READY (&gt;= 400 EUR quarterly min)</t>
        </is>
      </c>
      <c r="I12" s="5" t="inlineStr">
        <is>
          <t>2026-04, 2026-06</t>
        </is>
      </c>
      <c r="J12" s="3" t="inlineStr">
        <is>
          <t>Estonian e-MTA (emta.ee)</t>
        </is>
      </c>
      <c r="K12" s="3" t="inlineStr">
        <is>
          <t>draft</t>
        </is>
      </c>
    </row>
    <row r="13">
      <c r="A13" s="3" t="inlineStr">
        <is>
          <t>Jupiter Plus AS</t>
        </is>
      </c>
      <c r="B13" s="3" t="inlineStr">
        <is>
          <t>Germany</t>
        </is>
      </c>
      <c r="C13" s="3" t="inlineStr">
        <is>
          <t>2026-YEAR</t>
        </is>
      </c>
      <c r="D13" s="4" t="n">
        <v>815.63</v>
      </c>
      <c r="E13" s="4" t="n">
        <v>815.63</v>
      </c>
      <c r="F13" s="3" t="inlineStr">
        <is>
          <t>EUR</t>
        </is>
      </c>
      <c r="G13" s="3" t="n">
        <v>12</v>
      </c>
      <c r="H13" s="3" t="inlineStr">
        <is>
          <t>READY (annual &gt;= 50 EUR)</t>
        </is>
      </c>
      <c r="I13" s="3" t="inlineStr"/>
      <c r="J13" s="3" t="inlineStr">
        <is>
          <t>Estonian e-MTA (emta.ee)</t>
        </is>
      </c>
      <c r="K13" s="3" t="inlineStr">
        <is>
          <t>draft</t>
        </is>
      </c>
    </row>
    <row r="14">
      <c r="A14" s="3" t="inlineStr">
        <is>
          <t>Jupiter Plus AS</t>
        </is>
      </c>
      <c r="B14" s="3" t="inlineStr">
        <is>
          <t>Poland</t>
        </is>
      </c>
      <c r="C14" s="3" t="inlineStr">
        <is>
          <t>2026-Q2</t>
        </is>
      </c>
      <c r="D14" s="4" t="n">
        <v>10.84</v>
      </c>
      <c r="E14" s="6" t="inlineStr">
        <is>
          <t>INPUT PLN</t>
        </is>
      </c>
      <c r="F14" s="3" t="inlineStr">
        <is>
          <t>PLN</t>
        </is>
      </c>
      <c r="G14" s="3" t="n">
        <v>1</v>
      </c>
      <c r="H14" s="3" t="inlineStr">
        <is>
          <t>BELOW ANNUAL MIN - accumulate</t>
        </is>
      </c>
      <c r="I14" s="5" t="inlineStr">
        <is>
          <t>2026-04, 2026-06</t>
        </is>
      </c>
      <c r="J14" s="3" t="inlineStr">
        <is>
          <t>Estonian e-MTA (emta.ee)</t>
        </is>
      </c>
      <c r="K14" s="3" t="inlineStr">
        <is>
          <t>draft</t>
        </is>
      </c>
    </row>
    <row r="15">
      <c r="A15" s="3" t="inlineStr">
        <is>
          <t>Jupiter Plus AS</t>
        </is>
      </c>
      <c r="B15" s="3" t="inlineStr">
        <is>
          <t>Poland</t>
        </is>
      </c>
      <c r="C15" s="3" t="inlineStr">
        <is>
          <t>2026-YEAR</t>
        </is>
      </c>
      <c r="D15" s="4" t="n">
        <v>10.84</v>
      </c>
      <c r="E15" s="4" t="n">
        <v>10.84</v>
      </c>
      <c r="F15" s="3" t="inlineStr">
        <is>
          <t>PLN</t>
        </is>
      </c>
      <c r="G15" s="3" t="n">
        <v>1</v>
      </c>
      <c r="H15" s="3" t="inlineStr">
        <is>
          <t>BELOW ANNUAL MIN</t>
        </is>
      </c>
      <c r="I15" s="3" t="inlineStr"/>
      <c r="J15" s="3" t="inlineStr">
        <is>
          <t>Estonian e-MTA (emta.ee)</t>
        </is>
      </c>
      <c r="K15" s="3" t="inlineStr">
        <is>
          <t>draft</t>
        </is>
      </c>
    </row>
    <row r="16">
      <c r="A16" s="3" t="inlineStr">
        <is>
          <t>Jupiter Plus AS</t>
        </is>
      </c>
      <c r="B16" s="3" t="inlineStr">
        <is>
          <t>Spain</t>
        </is>
      </c>
      <c r="C16" s="3" t="inlineStr">
        <is>
          <t>2026-Q2</t>
        </is>
      </c>
      <c r="D16" s="4" t="n">
        <v>611.09</v>
      </c>
      <c r="E16" s="4" t="n">
        <v>611.09</v>
      </c>
      <c r="F16" s="3" t="inlineStr">
        <is>
          <t>EUR</t>
        </is>
      </c>
      <c r="G16" s="3" t="n">
        <v>12</v>
      </c>
      <c r="H16" s="3" t="inlineStr">
        <is>
          <t>READY (&gt;= 400 EUR quarterly min)</t>
        </is>
      </c>
      <c r="I16" s="5" t="inlineStr">
        <is>
          <t>2026-04, 2026-06</t>
        </is>
      </c>
      <c r="J16" s="3" t="inlineStr">
        <is>
          <t>Estonian e-MTA (emta.ee)</t>
        </is>
      </c>
      <c r="K16" s="3" t="inlineStr">
        <is>
          <t>draft</t>
        </is>
      </c>
    </row>
    <row r="17">
      <c r="A17" s="3" t="inlineStr">
        <is>
          <t>Jupiter Plus AS</t>
        </is>
      </c>
      <c r="B17" s="3" t="inlineStr">
        <is>
          <t>Spain</t>
        </is>
      </c>
      <c r="C17" s="3" t="inlineStr">
        <is>
          <t>2026-YEAR</t>
        </is>
      </c>
      <c r="D17" s="4" t="n">
        <v>611.09</v>
      </c>
      <c r="E17" s="4" t="n">
        <v>611.09</v>
      </c>
      <c r="F17" s="3" t="inlineStr">
        <is>
          <t>EUR</t>
        </is>
      </c>
      <c r="G17" s="3" t="n">
        <v>12</v>
      </c>
      <c r="H17" s="3" t="inlineStr">
        <is>
          <t>READY (annual &gt;= 50 EUR)</t>
        </is>
      </c>
      <c r="I17" s="3" t="inlineStr"/>
      <c r="J17" s="3" t="inlineStr">
        <is>
          <t>Estonian e-MTA (emta.ee)</t>
        </is>
      </c>
      <c r="K17" s="3" t="inlineStr">
        <is>
          <t>draft</t>
        </is>
      </c>
    </row>
    <row r="18">
      <c r="A18" s="3" t="inlineStr">
        <is>
          <t>Jupiter Plus AS</t>
        </is>
      </c>
      <c r="B18" s="3" t="inlineStr">
        <is>
          <t>Sweden</t>
        </is>
      </c>
      <c r="C18" s="3" t="inlineStr">
        <is>
          <t>2026-Q2</t>
        </is>
      </c>
      <c r="D18" s="4" t="n">
        <v>6707.48</v>
      </c>
      <c r="E18" s="4" t="n">
        <v>72484.03</v>
      </c>
      <c r="F18" s="3" t="inlineStr">
        <is>
          <t>SEK</t>
        </is>
      </c>
      <c r="G18" s="3" t="n">
        <v>85</v>
      </c>
      <c r="H18" s="3" t="inlineStr">
        <is>
          <t>READY (&gt;= 400 EUR quarterly min)</t>
        </is>
      </c>
      <c r="I18" s="5" t="inlineStr">
        <is>
          <t>2026-04, 2026-06</t>
        </is>
      </c>
      <c r="J18" s="3" t="inlineStr">
        <is>
          <t>Estonian e-MTA (emta.ee)</t>
        </is>
      </c>
      <c r="K18" s="3" t="inlineStr">
        <is>
          <t>submitted</t>
        </is>
      </c>
    </row>
    <row r="19">
      <c r="A19" s="3" t="inlineStr">
        <is>
          <t>Jupiter Plus AS</t>
        </is>
      </c>
      <c r="B19" s="3" t="inlineStr">
        <is>
          <t>Sweden</t>
        </is>
      </c>
      <c r="C19" s="3" t="inlineStr">
        <is>
          <t>2026-YEAR</t>
        </is>
      </c>
      <c r="D19" s="4" t="n">
        <v>6707.48</v>
      </c>
      <c r="E19" s="4" t="n">
        <v>72484.03</v>
      </c>
      <c r="F19" s="3" t="inlineStr">
        <is>
          <t>SEK</t>
        </is>
      </c>
      <c r="G19" s="3" t="n">
        <v>85</v>
      </c>
      <c r="H19" s="3" t="inlineStr">
        <is>
          <t>READY (annual &gt;= 50 EUR)</t>
        </is>
      </c>
      <c r="I19" s="3" t="inlineStr"/>
      <c r="J19" s="3" t="inlineStr">
        <is>
          <t>Estonian e-MTA (emta.ee)</t>
        </is>
      </c>
      <c r="K19" s="3" t="inlineStr">
        <is>
          <t>draft</t>
        </is>
      </c>
    </row>
    <row r="20">
      <c r="A20" s="3" t="inlineStr">
        <is>
          <t>SIA OMUSS</t>
        </is>
      </c>
      <c r="B20" s="3" t="inlineStr">
        <is>
          <t>Poland</t>
        </is>
      </c>
      <c r="C20" s="3" t="inlineStr">
        <is>
          <t>2026-Q2</t>
        </is>
      </c>
      <c r="D20" s="4" t="n">
        <v>1291.05</v>
      </c>
      <c r="E20" s="4" t="n">
        <v>5512.65</v>
      </c>
      <c r="F20" s="3" t="inlineStr">
        <is>
          <t>PLN</t>
        </is>
      </c>
      <c r="G20" s="3" t="n">
        <v>46</v>
      </c>
      <c r="H20" s="3" t="inlineStr">
        <is>
          <t>READY (&gt;= 400 EUR quarterly min)</t>
        </is>
      </c>
      <c r="I20" s="5" t="inlineStr">
        <is>
          <t>2026-04, 2026-06</t>
        </is>
      </c>
      <c r="J20" s="3" t="inlineStr">
        <is>
          <t>Latvian EDS (eds.vid.gov.lv)</t>
        </is>
      </c>
      <c r="K20" s="3" t="inlineStr">
        <is>
          <t>submitted</t>
        </is>
      </c>
    </row>
    <row r="21">
      <c r="A21" s="3" t="inlineStr">
        <is>
          <t>SIA OMUSS</t>
        </is>
      </c>
      <c r="B21" s="3" t="inlineStr">
        <is>
          <t>Poland</t>
        </is>
      </c>
      <c r="C21" s="3" t="inlineStr">
        <is>
          <t>2026-YEAR</t>
        </is>
      </c>
      <c r="D21" s="4" t="n">
        <v>1291.05</v>
      </c>
      <c r="E21" s="4" t="n">
        <v>5512.65</v>
      </c>
      <c r="F21" s="3" t="inlineStr">
        <is>
          <t>PLN</t>
        </is>
      </c>
      <c r="G21" s="3" t="n">
        <v>46</v>
      </c>
      <c r="H21" s="3" t="inlineStr">
        <is>
          <t>READY (annual &gt;= 50 EUR)</t>
        </is>
      </c>
      <c r="I21" s="3" t="inlineStr"/>
      <c r="J21" s="3" t="inlineStr">
        <is>
          <t>Latvian EDS (eds.vid.gov.lv)</t>
        </is>
      </c>
      <c r="K21" s="3" t="inlineStr">
        <is>
          <t>draft</t>
        </is>
      </c>
    </row>
    <row r="22">
      <c r="A22" s="3" t="inlineStr">
        <is>
          <t>UAB Motiejausko Transportas</t>
        </is>
      </c>
      <c r="B22" s="3" t="inlineStr">
        <is>
          <t>Belgium</t>
        </is>
      </c>
      <c r="C22" s="3" t="inlineStr">
        <is>
          <t>2026-Q2</t>
        </is>
      </c>
      <c r="D22" s="4" t="n">
        <v>8915.42</v>
      </c>
      <c r="E22" s="4" t="n">
        <v>8915.42</v>
      </c>
      <c r="F22" s="3" t="inlineStr">
        <is>
          <t>EUR</t>
        </is>
      </c>
      <c r="G22" s="3" t="n">
        <v>120</v>
      </c>
      <c r="H22" s="3" t="inlineStr">
        <is>
          <t>READY (&gt;= 400 EUR quarterly min)</t>
        </is>
      </c>
      <c r="I22" s="5" t="inlineStr">
        <is>
          <t>2026-04, 2026-06</t>
        </is>
      </c>
      <c r="J22" s="3" t="inlineStr">
        <is>
          <t>Lithuanian Mano VMI / EPRIS</t>
        </is>
      </c>
      <c r="K22" s="3" t="inlineStr">
        <is>
          <t>draft</t>
        </is>
      </c>
    </row>
    <row r="23">
      <c r="A23" s="3" t="inlineStr">
        <is>
          <t>UAB Motiejausko Transportas</t>
        </is>
      </c>
      <c r="B23" s="3" t="inlineStr">
        <is>
          <t>Belgium</t>
        </is>
      </c>
      <c r="C23" s="3" t="inlineStr">
        <is>
          <t>2026-YEAR</t>
        </is>
      </c>
      <c r="D23" s="4" t="n">
        <v>8915.42</v>
      </c>
      <c r="E23" s="4" t="n">
        <v>8915.42</v>
      </c>
      <c r="F23" s="3" t="inlineStr">
        <is>
          <t>EUR</t>
        </is>
      </c>
      <c r="G23" s="3" t="n">
        <v>120</v>
      </c>
      <c r="H23" s="3" t="inlineStr">
        <is>
          <t>READY (annual &gt;= 50 EUR)</t>
        </is>
      </c>
      <c r="I23" s="3" t="inlineStr"/>
      <c r="J23" s="3" t="inlineStr">
        <is>
          <t>Lithuanian Mano VMI / EPRIS</t>
        </is>
      </c>
      <c r="K23" s="3" t="inlineStr">
        <is>
          <t>draft</t>
        </is>
      </c>
    </row>
    <row r="24">
      <c r="A24" s="3" t="inlineStr">
        <is>
          <t>UAB Vestroidas</t>
        </is>
      </c>
      <c r="B24" s="3" t="inlineStr">
        <is>
          <t>Belgium</t>
        </is>
      </c>
      <c r="C24" s="3" t="inlineStr">
        <is>
          <t>2026-Q2</t>
        </is>
      </c>
      <c r="D24" s="4" t="n">
        <v>16389.88</v>
      </c>
      <c r="E24" s="4" t="n">
        <v>16389.88</v>
      </c>
      <c r="F24" s="3" t="inlineStr">
        <is>
          <t>EUR</t>
        </is>
      </c>
      <c r="G24" s="3" t="n">
        <v>214</v>
      </c>
      <c r="H24" s="3" t="inlineStr">
        <is>
          <t>READY (&gt;= 400 EUR quarterly min)</t>
        </is>
      </c>
      <c r="I24" s="5" t="inlineStr">
        <is>
          <t>2026-04, 2026-06</t>
        </is>
      </c>
      <c r="J24" s="3" t="inlineStr">
        <is>
          <t>Lithuanian Mano VMI / EPRIS</t>
        </is>
      </c>
      <c r="K24" s="3" t="inlineStr">
        <is>
          <t>submitted</t>
        </is>
      </c>
    </row>
    <row r="25">
      <c r="A25" s="3" t="inlineStr">
        <is>
          <t>UAB Vestroidas</t>
        </is>
      </c>
      <c r="B25" s="3" t="inlineStr">
        <is>
          <t>Belgium</t>
        </is>
      </c>
      <c r="C25" s="3" t="inlineStr">
        <is>
          <t>2026-YEAR</t>
        </is>
      </c>
      <c r="D25" s="4" t="n">
        <v>16389.88</v>
      </c>
      <c r="E25" s="4" t="n">
        <v>16389.88</v>
      </c>
      <c r="F25" s="3" t="inlineStr">
        <is>
          <t>EUR</t>
        </is>
      </c>
      <c r="G25" s="3" t="n">
        <v>214</v>
      </c>
      <c r="H25" s="3" t="inlineStr">
        <is>
          <t>READY (annual &gt;= 50 EUR)</t>
        </is>
      </c>
      <c r="I25" s="3" t="inlineStr"/>
      <c r="J25" s="3" t="inlineStr">
        <is>
          <t>Lithuanian Mano VMI / EPRIS</t>
        </is>
      </c>
      <c r="K25" s="3" t="inlineStr">
        <is>
          <t>withdrawn</t>
        </is>
      </c>
    </row>
    <row r="26">
      <c r="A26" s="3" t="inlineStr">
        <is>
          <t>UAB Zaukos Transportas</t>
        </is>
      </c>
      <c r="B26" s="3" t="inlineStr">
        <is>
          <t>Spain</t>
        </is>
      </c>
      <c r="C26" s="3" t="inlineStr">
        <is>
          <t>2026-Q2</t>
        </is>
      </c>
      <c r="D26" s="4" t="n">
        <v>5672.15</v>
      </c>
      <c r="E26" s="4" t="n">
        <v>5672.15</v>
      </c>
      <c r="F26" s="3" t="inlineStr">
        <is>
          <t>EUR</t>
        </is>
      </c>
      <c r="G26" s="3" t="n">
        <v>131</v>
      </c>
      <c r="H26" s="3" t="inlineStr">
        <is>
          <t>READY (&gt;= 400 EUR quarterly min)</t>
        </is>
      </c>
      <c r="I26" s="5" t="inlineStr">
        <is>
          <t>2026-04, 2026-06</t>
        </is>
      </c>
      <c r="J26" s="3" t="inlineStr">
        <is>
          <t>Lithuanian Mano VMI / EPRIS</t>
        </is>
      </c>
      <c r="K26" s="3" t="inlineStr">
        <is>
          <t>ready</t>
        </is>
      </c>
    </row>
    <row r="27">
      <c r="A27" s="3" t="inlineStr">
        <is>
          <t>UAB Zaukos Transportas</t>
        </is>
      </c>
      <c r="B27" s="3" t="inlineStr">
        <is>
          <t>Spain</t>
        </is>
      </c>
      <c r="C27" s="3" t="inlineStr">
        <is>
          <t>2026-YEAR</t>
        </is>
      </c>
      <c r="D27" s="4" t="n">
        <v>5672.15</v>
      </c>
      <c r="E27" s="4" t="n">
        <v>5672.15</v>
      </c>
      <c r="F27" s="3" t="inlineStr">
        <is>
          <t>EUR</t>
        </is>
      </c>
      <c r="G27" s="3" t="n">
        <v>131</v>
      </c>
      <c r="H27" s="3" t="inlineStr">
        <is>
          <t>READY (annual &gt;= 50 EUR)</t>
        </is>
      </c>
      <c r="I27" s="3" t="inlineStr"/>
      <c r="J27" s="3" t="inlineStr">
        <is>
          <t>Lithuanian Mano VMI / EPRIS</t>
        </is>
      </c>
      <c r="K27" s="3" t="inlineStr">
        <is>
          <t>draft</t>
        </is>
      </c>
    </row>
    <row r="29">
      <c r="A29" s="7" t="inlineStr">
        <is>
          <t>Compliance notes:</t>
        </is>
      </c>
    </row>
    <row r="30">
      <c r="B30" s="8" t="inlineStr">
        <is>
          <t>- Fuel-card caveat (ECJ Vega International C-235/18 / Auto Lease C-185/01): confirm with each card issuer whether their scheme qualifies as a supply of fuel to you (refund via 2008/9/EC) or a financial service - some issuers (e.g. DKV, E100) instead run their own net-invoicing/refund service. Verify per contract before filing.</t>
        </is>
      </c>
    </row>
    <row r="31">
      <c r="B31" s="8" t="inlineStr">
        <is>
          <t>- Claims are filed in the refund country's currency; minimums (400/50 EUR) apply in national equivalents (e.g. SEK 4 000/500, PLN/ DKK equivalents).</t>
        </is>
      </c>
    </row>
    <row r="32">
      <c r="B32" s="8" t="inlineStr">
        <is>
          <t>- A quarterly application may be filed after the quarter ends; remaining-of-year periods are allowed; the absolute deadline for refund year Y is 30 September Y+1.</t>
        </is>
      </c>
    </row>
    <row r="33">
      <c r="B33" s="8" t="inlineStr">
        <is>
          <t>- Original e-invoices may be requested by the refund state; keep supplier PDFs archived per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Austria -&gt; 2026-Q2</t>
        </is>
      </c>
    </row>
    <row r="2">
      <c r="A2" s="10" t="inlineStr">
        <is>
          <t>File via Estonian e-MTA (emta.ee); claim currency EUR; deadline 2027-09-30; verdict: DEFER TO ANNUAL (below 400, year &gt;= 50);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Q8</t>
        </is>
      </c>
      <c r="B7" s="3" t="inlineStr">
        <is>
          <t>Kuwait Petroleum (Q8) - per-country entities</t>
        </is>
      </c>
      <c r="C7" s="5" t="inlineStr">
        <is>
          <t>INPUT: INPUT</t>
        </is>
      </c>
      <c r="D7" s="3" t="inlineStr">
        <is>
          <t>INPUT: AT country invoice</t>
        </is>
      </c>
      <c r="E7" s="3" t="inlineStr">
        <is>
          <t>2026-05-31</t>
        </is>
      </c>
      <c r="F7" s="3" t="inlineStr">
        <is>
          <t>1</t>
        </is>
      </c>
      <c r="G7" s="3" t="inlineStr">
        <is>
          <t>Fuel</t>
        </is>
      </c>
      <c r="H7" s="3" t="inlineStr">
        <is>
          <t>Diesel</t>
        </is>
      </c>
      <c r="I7" s="3" t="inlineStr">
        <is>
          <t>EUR</t>
        </is>
      </c>
      <c r="J7" s="4" t="n">
        <v>972.9400000000001</v>
      </c>
      <c r="K7" s="4" t="n">
        <v>194.59</v>
      </c>
      <c r="L7" s="4" t="n">
        <v>972.9400000000001</v>
      </c>
      <c r="M7" s="4" t="n">
        <v>194.59</v>
      </c>
      <c r="N7" s="3" t="inlineStr">
        <is>
          <t>free</t>
        </is>
      </c>
      <c r="O7" s="11" t="inlineStr">
        <is>
          <t>MISSING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7" t="n"/>
      <c r="O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Belgium -&gt; 2026-Q2</t>
        </is>
      </c>
    </row>
    <row r="2">
      <c r="A2" s="10" t="inlineStr">
        <is>
          <t>File via Estonian e-MTA (emta.ee); claim currency EUR; deadline 2027-09-30; verdict: READY (&gt;= 400 EUR quarterly min);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Q8</t>
        </is>
      </c>
      <c r="B7" s="3" t="inlineStr">
        <is>
          <t>Kuwait Petroleum (Q8) - per-country entities</t>
        </is>
      </c>
      <c r="C7" s="5" t="inlineStr">
        <is>
          <t>INPUT: INPUT from country invoice BEOI00118939</t>
        </is>
      </c>
      <c r="D7" s="3" t="inlineStr">
        <is>
          <t>BEOI00118939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EUR</t>
        </is>
      </c>
      <c r="J7" s="4" t="n">
        <v>395.09</v>
      </c>
      <c r="K7" s="4" t="n">
        <v>82.97</v>
      </c>
      <c r="L7" s="4" t="n">
        <v>395.09</v>
      </c>
      <c r="M7" s="4" t="n">
        <v>82.97</v>
      </c>
      <c r="N7" s="3" t="inlineStr">
        <is>
          <t>free</t>
        </is>
      </c>
      <c r="O7" s="3" t="inlineStr">
        <is>
          <t>0060001529_31052026_DE00752298.pdf [sha 93df0955]</t>
        </is>
      </c>
    </row>
    <row r="8">
      <c r="A8" s="3" t="inlineStr">
        <is>
          <t>Q8</t>
        </is>
      </c>
      <c r="B8" s="3" t="inlineStr">
        <is>
          <t>Kuwait Petroleum (Q8) - per-country entities</t>
        </is>
      </c>
      <c r="C8" s="5" t="inlineStr">
        <is>
          <t>INPUT: INPUT from country invoice BEOI00118939</t>
        </is>
      </c>
      <c r="D8" s="3" t="inlineStr">
        <is>
          <t>BEOI00118939</t>
        </is>
      </c>
      <c r="E8" s="3" t="inlineStr">
        <is>
          <t>2026-05-31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EUR</t>
        </is>
      </c>
      <c r="J8" s="4" t="n">
        <v>37560.61</v>
      </c>
      <c r="K8" s="4" t="n">
        <v>7887.73</v>
      </c>
      <c r="L8" s="4" t="n">
        <v>37560.61</v>
      </c>
      <c r="M8" s="4" t="n">
        <v>7887.73</v>
      </c>
      <c r="N8" s="3" t="inlineStr">
        <is>
          <t>free</t>
        </is>
      </c>
      <c r="O8" s="3" t="inlineStr">
        <is>
          <t>0060001529_31052026_DE00752298.pdf [sha 93df0955]</t>
        </is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12">
        <f>SUM(J7:J8)</f>
        <v/>
      </c>
      <c r="K9" s="12">
        <f>SUM(K7:K8)</f>
        <v/>
      </c>
      <c r="L9" s="12">
        <f>SUM(L7:L8)</f>
        <v/>
      </c>
      <c r="M9" s="12">
        <f>SUM(M7:M8)</f>
        <v/>
      </c>
      <c r="N9" s="7" t="n"/>
      <c r="O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Denmark -&gt; 2026-Q2</t>
        </is>
      </c>
    </row>
    <row r="2">
      <c r="A2" s="10" t="inlineStr">
        <is>
          <t>File via Estonian e-MTA (emta.ee); claim currency DKK; deadline 2027-09-30; verdict: READY (&gt;= 400 EUR quarterly min);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Q8</t>
        </is>
      </c>
      <c r="B7" s="3" t="inlineStr">
        <is>
          <t>Kuwait Petroleum (Q8) - per-country entities</t>
        </is>
      </c>
      <c r="C7" s="5" t="inlineStr">
        <is>
          <t>INPUT: INPUT</t>
        </is>
      </c>
      <c r="D7" s="3" t="inlineStr">
        <is>
          <t>INPUT: DK country invoice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DKK</t>
        </is>
      </c>
      <c r="J7" s="4" t="n">
        <v>138.34</v>
      </c>
      <c r="K7" s="4" t="n">
        <v>34.58</v>
      </c>
      <c r="L7" s="4" t="n">
        <v>138.34</v>
      </c>
      <c r="M7" s="4" t="n">
        <v>34.58</v>
      </c>
      <c r="N7" s="3" t="inlineStr">
        <is>
          <t>free</t>
        </is>
      </c>
      <c r="O7" s="11" t="inlineStr">
        <is>
          <t>MISSING</t>
        </is>
      </c>
    </row>
    <row r="8">
      <c r="A8" s="3" t="inlineStr">
        <is>
          <t>Q8</t>
        </is>
      </c>
      <c r="B8" s="3" t="inlineStr">
        <is>
          <t>Kuwait Petroleum (Q8) - per-country entities</t>
        </is>
      </c>
      <c r="C8" s="5" t="inlineStr">
        <is>
          <t>INPUT: INPUT</t>
        </is>
      </c>
      <c r="D8" s="3" t="inlineStr">
        <is>
          <t>INPUT: DK country invoice</t>
        </is>
      </c>
      <c r="E8" s="3" t="inlineStr">
        <is>
          <t>2026-05-31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DKK</t>
        </is>
      </c>
      <c r="J8" s="4" t="n">
        <v>3788.21</v>
      </c>
      <c r="K8" s="4" t="n">
        <v>947.0599999999999</v>
      </c>
      <c r="L8" s="4" t="n">
        <v>3788.21</v>
      </c>
      <c r="M8" s="4" t="n">
        <v>947.0599999999999</v>
      </c>
      <c r="N8" s="3" t="inlineStr">
        <is>
          <t>free</t>
        </is>
      </c>
      <c r="O8" s="11" t="inlineStr">
        <is>
          <t>MISSING</t>
        </is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12">
        <f>SUM(J7:J8)</f>
        <v/>
      </c>
      <c r="K9" s="12">
        <f>SUM(K7:K8)</f>
        <v/>
      </c>
      <c r="L9" s="12">
        <f>SUM(L7:L8)</f>
        <v/>
      </c>
      <c r="M9" s="12">
        <f>SUM(M7:M8)</f>
        <v/>
      </c>
      <c r="N9" s="7" t="n"/>
      <c r="O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France -&gt; 2026-Q2</t>
        </is>
      </c>
    </row>
    <row r="2">
      <c r="A2" s="10" t="inlineStr">
        <is>
          <t>File via Estonian e-MTA (emta.ee); claim currency EUR; deadline 2027-09-30; verdict: READY (&gt;= 400 EUR quarterly min);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Q8</t>
        </is>
      </c>
      <c r="B7" s="3" t="inlineStr">
        <is>
          <t>Kuwait Petroleum (Q8) - per-country entities</t>
        </is>
      </c>
      <c r="C7" s="5" t="inlineStr">
        <is>
          <t>INPUT: INPUT</t>
        </is>
      </c>
      <c r="D7" s="3" t="inlineStr">
        <is>
          <t>INPUT: FR country invoice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EUR</t>
        </is>
      </c>
      <c r="J7" s="4" t="n">
        <v>61.67</v>
      </c>
      <c r="K7" s="4" t="n">
        <v>12.33</v>
      </c>
      <c r="L7" s="4" t="n">
        <v>61.67</v>
      </c>
      <c r="M7" s="4" t="n">
        <v>12.33</v>
      </c>
      <c r="N7" s="3" t="inlineStr">
        <is>
          <t>free</t>
        </is>
      </c>
      <c r="O7" s="11" t="inlineStr">
        <is>
          <t>MISSING</t>
        </is>
      </c>
    </row>
    <row r="8">
      <c r="A8" s="3" t="inlineStr">
        <is>
          <t>Q8</t>
        </is>
      </c>
      <c r="B8" s="3" t="inlineStr">
        <is>
          <t>Kuwait Petroleum (Q8) - per-country entities</t>
        </is>
      </c>
      <c r="C8" s="5" t="inlineStr">
        <is>
          <t>INPUT: INPUT</t>
        </is>
      </c>
      <c r="D8" s="3" t="inlineStr">
        <is>
          <t>INPUT: FR country invoice</t>
        </is>
      </c>
      <c r="E8" s="3" t="inlineStr">
        <is>
          <t>2026-05-31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EUR</t>
        </is>
      </c>
      <c r="J8" s="4" t="n">
        <v>2861.1</v>
      </c>
      <c r="K8" s="4" t="n">
        <v>572.22</v>
      </c>
      <c r="L8" s="4" t="n">
        <v>2861.1</v>
      </c>
      <c r="M8" s="4" t="n">
        <v>572.22</v>
      </c>
      <c r="N8" s="3" t="inlineStr">
        <is>
          <t>free</t>
        </is>
      </c>
      <c r="O8" s="11" t="inlineStr">
        <is>
          <t>MISSING</t>
        </is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12">
        <f>SUM(J7:J8)</f>
        <v/>
      </c>
      <c r="K9" s="12">
        <f>SUM(K7:K8)</f>
        <v/>
      </c>
      <c r="L9" s="12">
        <f>SUM(L7:L8)</f>
        <v/>
      </c>
      <c r="M9" s="12">
        <f>SUM(M7:M8)</f>
        <v/>
      </c>
      <c r="N9" s="7" t="n"/>
      <c r="O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Germany -&gt; 2026-Q2</t>
        </is>
      </c>
    </row>
    <row r="2">
      <c r="A2" s="10" t="inlineStr">
        <is>
          <t>File via Estonian e-MTA (emta.ee); claim currency EUR; deadline 2027-09-30; verdict: READY (&gt;= 400 EUR quarterly min);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Q8</t>
        </is>
      </c>
      <c r="B7" s="3" t="inlineStr">
        <is>
          <t>Kuwait Petroleum (Q8) - per-country entities</t>
        </is>
      </c>
      <c r="C7" s="5" t="inlineStr">
        <is>
          <t>INPUT: INPUT from country invoice DEVR00473179</t>
        </is>
      </c>
      <c r="D7" s="3" t="inlineStr">
        <is>
          <t>DEVR00473179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EUR</t>
        </is>
      </c>
      <c r="J7" s="4" t="n">
        <v>192.01</v>
      </c>
      <c r="K7" s="4" t="n">
        <v>36.48</v>
      </c>
      <c r="L7" s="4" t="n">
        <v>192.01</v>
      </c>
      <c r="M7" s="4" t="n">
        <v>36.48</v>
      </c>
      <c r="N7" s="3" t="inlineStr">
        <is>
          <t>free</t>
        </is>
      </c>
      <c r="O7" s="3" t="inlineStr">
        <is>
          <t>0060001529_31052026_DE00752298.pdf [sha 93df0955]</t>
        </is>
      </c>
    </row>
    <row r="8">
      <c r="A8" s="3" t="inlineStr">
        <is>
          <t>Q8</t>
        </is>
      </c>
      <c r="B8" s="3" t="inlineStr">
        <is>
          <t>Kuwait Petroleum (Q8) - per-country entities</t>
        </is>
      </c>
      <c r="C8" s="5" t="inlineStr">
        <is>
          <t>INPUT: INPUT from country invoice DEVR00473179</t>
        </is>
      </c>
      <c r="D8" s="3" t="inlineStr">
        <is>
          <t>DEVR00473179</t>
        </is>
      </c>
      <c r="E8" s="3" t="inlineStr">
        <is>
          <t>2026-05-31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EUR</t>
        </is>
      </c>
      <c r="J8" s="4" t="n">
        <v>4100.81</v>
      </c>
      <c r="K8" s="4" t="n">
        <v>779.15</v>
      </c>
      <c r="L8" s="4" t="n">
        <v>4100.81</v>
      </c>
      <c r="M8" s="4" t="n">
        <v>779.15</v>
      </c>
      <c r="N8" s="3" t="inlineStr">
        <is>
          <t>free</t>
        </is>
      </c>
      <c r="O8" s="3" t="inlineStr">
        <is>
          <t>0060001529_31052026_DE00752298.pdf [sha 93df0955]</t>
        </is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12">
        <f>SUM(J7:J8)</f>
        <v/>
      </c>
      <c r="K9" s="12">
        <f>SUM(K7:K8)</f>
        <v/>
      </c>
      <c r="L9" s="12">
        <f>SUM(L7:L8)</f>
        <v/>
      </c>
      <c r="M9" s="12">
        <f>SUM(M7:M8)</f>
        <v/>
      </c>
      <c r="N9" s="7" t="n"/>
      <c r="O9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Poland -&gt; 2026-Q2</t>
        </is>
      </c>
    </row>
    <row r="2">
      <c r="A2" s="10" t="inlineStr">
        <is>
          <t>File via Estonian e-MTA (emta.ee); claim currency PLN; deadline 2027-09-30; verdict: BELOW ANNUAL MIN - accumulate;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Q8</t>
        </is>
      </c>
      <c r="B7" s="3" t="inlineStr">
        <is>
          <t>Kuwait Petroleum (Q8) - per-country entities</t>
        </is>
      </c>
      <c r="C7" s="5" t="inlineStr">
        <is>
          <t>INPUT: INPUT</t>
        </is>
      </c>
      <c r="D7" s="3" t="inlineStr">
        <is>
          <t>INPUT: PL country invoice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PLN</t>
        </is>
      </c>
      <c r="J7" s="4" t="n">
        <v>47.12</v>
      </c>
      <c r="K7" s="4" t="n">
        <v>10.84</v>
      </c>
      <c r="L7" s="4" t="n">
        <v>47.12</v>
      </c>
      <c r="M7" s="4" t="n">
        <v>10.84</v>
      </c>
      <c r="N7" s="3" t="inlineStr">
        <is>
          <t>free</t>
        </is>
      </c>
      <c r="O7" s="11" t="inlineStr">
        <is>
          <t>MISSING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7" t="n"/>
      <c r="O8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Spain -&gt; 2026-Q2</t>
        </is>
      </c>
    </row>
    <row r="2">
      <c r="A2" s="10" t="inlineStr">
        <is>
          <t>File via Estonian e-MTA (emta.ee); claim currency EUR; deadline 2027-09-30; verdict: READY (&gt;= 400 EUR quarterly min);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Q8</t>
        </is>
      </c>
      <c r="B7" s="3" t="inlineStr">
        <is>
          <t>Kuwait Petroleum (Q8) - per-country entities</t>
        </is>
      </c>
      <c r="C7" s="5" t="inlineStr">
        <is>
          <t>INPUT: INPUT</t>
        </is>
      </c>
      <c r="D7" s="3" t="inlineStr">
        <is>
          <t>INPUT: ES country invoice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EUR</t>
        </is>
      </c>
      <c r="J7" s="4" t="n">
        <v>155.29</v>
      </c>
      <c r="K7" s="4" t="n">
        <v>32.61</v>
      </c>
      <c r="L7" s="4" t="n">
        <v>155.29</v>
      </c>
      <c r="M7" s="4" t="n">
        <v>32.61</v>
      </c>
      <c r="N7" s="3" t="inlineStr">
        <is>
          <t>free</t>
        </is>
      </c>
      <c r="O7" s="11" t="inlineStr">
        <is>
          <t>MISSING</t>
        </is>
      </c>
    </row>
    <row r="8">
      <c r="A8" s="3" t="inlineStr">
        <is>
          <t>Q8</t>
        </is>
      </c>
      <c r="B8" s="3" t="inlineStr">
        <is>
          <t>Kuwait Petroleum (Q8) - per-country entities</t>
        </is>
      </c>
      <c r="C8" s="5" t="inlineStr">
        <is>
          <t>INPUT: INPUT</t>
        </is>
      </c>
      <c r="D8" s="3" t="inlineStr">
        <is>
          <t>INPUT: ES country invoice</t>
        </is>
      </c>
      <c r="E8" s="3" t="inlineStr">
        <is>
          <t>2026-05-31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EUR</t>
        </is>
      </c>
      <c r="J8" s="4" t="n">
        <v>5784.8</v>
      </c>
      <c r="K8" s="4" t="n">
        <v>578.48</v>
      </c>
      <c r="L8" s="4" t="n">
        <v>5784.8</v>
      </c>
      <c r="M8" s="4" t="n">
        <v>578.48</v>
      </c>
      <c r="N8" s="3" t="inlineStr">
        <is>
          <t>free</t>
        </is>
      </c>
      <c r="O8" s="11" t="inlineStr">
        <is>
          <t>MISSING</t>
        </is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12">
        <f>SUM(J7:J8)</f>
        <v/>
      </c>
      <c r="K9" s="12">
        <f>SUM(K7:K8)</f>
        <v/>
      </c>
      <c r="L9" s="12">
        <f>SUM(L7:L8)</f>
        <v/>
      </c>
      <c r="M9" s="12">
        <f>SUM(M7:M8)</f>
        <v/>
      </c>
      <c r="N9" s="7" t="n"/>
      <c r="O9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Jupiter Plus AS -&gt; Sweden -&gt; 2026-Q2</t>
        </is>
      </c>
    </row>
    <row r="2">
      <c r="A2" s="10" t="inlineStr">
        <is>
          <t>File via Estonian e-MTA (emta.ee); claim currency SEK; deadline 2027-09-30; verdict: READY (&gt;= 400 EUR quarterly min); QUARTER INCOMPLETE - missing 2026-04, 2026-06</t>
        </is>
      </c>
    </row>
    <row r="3">
      <c r="A3" s="5" t="inlineStr">
        <is>
          <t>APPLICANT: Jupiter Plus AS | Reg. no: INPUT: EE company reg code | VAT: EE100127540 | Legal address: Savi 26, 80040 Parnu, Estonia</t>
        </is>
      </c>
    </row>
    <row r="4">
      <c r="A4" s="5" t="inlineStr">
        <is>
          <t>Refund payout account: INPUT: EE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DKV</t>
        </is>
      </c>
      <c r="B7" s="3" t="inlineStr">
        <is>
          <t>DKV Euro Service GmbH + Co. KG</t>
        </is>
      </c>
      <c r="C7" s="3" t="inlineStr">
        <is>
          <t>SE502044770101</t>
        </is>
      </c>
      <c r="D7" s="3" t="inlineStr">
        <is>
          <t>26/651689595/011</t>
        </is>
      </c>
      <c r="E7" s="3" t="inlineStr">
        <is>
          <t>2026-05-15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SEK</t>
        </is>
      </c>
      <c r="J7" s="4" t="n">
        <v>2461.33</v>
      </c>
      <c r="K7" s="4" t="n">
        <v>615.35</v>
      </c>
      <c r="L7" s="4" t="n">
        <v>227.68</v>
      </c>
      <c r="M7" s="4" t="n">
        <v>56.92</v>
      </c>
      <c r="N7" s="3" t="inlineStr">
        <is>
          <t>LOCKED here</t>
        </is>
      </c>
      <c r="O7" s="3" t="inlineStr">
        <is>
          <t>26_651689595_011.pdf [sha a700b28a]</t>
        </is>
      </c>
    </row>
    <row r="8">
      <c r="A8" s="3" t="inlineStr">
        <is>
          <t>DKV</t>
        </is>
      </c>
      <c r="B8" s="3" t="inlineStr">
        <is>
          <t>DKV Euro Service GmbH + Co. KG</t>
        </is>
      </c>
      <c r="C8" s="3" t="inlineStr">
        <is>
          <t>SE502044770101</t>
        </is>
      </c>
      <c r="D8" s="3" t="inlineStr">
        <is>
          <t>26/651689595/011</t>
        </is>
      </c>
      <c r="E8" s="3" t="inlineStr">
        <is>
          <t>2026-05-15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SEK</t>
        </is>
      </c>
      <c r="J8" s="4" t="n">
        <v>166997.74</v>
      </c>
      <c r="K8" s="4" t="n">
        <v>41749.41</v>
      </c>
      <c r="L8" s="4" t="n">
        <v>15427.95</v>
      </c>
      <c r="M8" s="4" t="n">
        <v>3857.01</v>
      </c>
      <c r="N8" s="3" t="inlineStr">
        <is>
          <t>LOCKED here</t>
        </is>
      </c>
      <c r="O8" s="3" t="inlineStr">
        <is>
          <t>26_651689595_011.pdf [sha a700b28a]</t>
        </is>
      </c>
    </row>
    <row r="9">
      <c r="A9" s="3" t="inlineStr">
        <is>
          <t>DKV</t>
        </is>
      </c>
      <c r="B9" s="3" t="inlineStr">
        <is>
          <t>DKV Euro Service GmbH + Co. KG</t>
        </is>
      </c>
      <c r="C9" s="3" t="inlineStr">
        <is>
          <t>SE502044770101</t>
        </is>
      </c>
      <c r="D9" s="3" t="inlineStr">
        <is>
          <t>26/651689595/011</t>
        </is>
      </c>
      <c r="E9" s="3" t="inlineStr">
        <is>
          <t>2026-05-15</t>
        </is>
      </c>
      <c r="F9" s="3" t="inlineStr">
        <is>
          <t>9</t>
        </is>
      </c>
      <c r="G9" s="3" t="inlineStr">
        <is>
          <t>Other - parking</t>
        </is>
      </c>
      <c r="H9" s="3" t="inlineStr">
        <is>
          <t>Parking</t>
        </is>
      </c>
      <c r="I9" s="3" t="inlineStr">
        <is>
          <t>SEK</t>
        </is>
      </c>
      <c r="J9" s="4" t="n">
        <v>1812.54</v>
      </c>
      <c r="K9" s="4" t="n">
        <v>453.14</v>
      </c>
      <c r="L9" s="4" t="n">
        <v>167.75</v>
      </c>
      <c r="M9" s="4" t="n">
        <v>41.95</v>
      </c>
      <c r="N9" s="3" t="inlineStr">
        <is>
          <t>LOCKED here</t>
        </is>
      </c>
      <c r="O9" s="3" t="inlineStr">
        <is>
          <t>26_651689595_011.pdf [sha a700b28a]</t>
        </is>
      </c>
    </row>
    <row r="10">
      <c r="A10" s="3" t="inlineStr">
        <is>
          <t>DKV</t>
        </is>
      </c>
      <c r="B10" s="3" t="inlineStr">
        <is>
          <t>DKV Euro Service GmbH + Co. KG</t>
        </is>
      </c>
      <c r="C10" s="3" t="inlineStr">
        <is>
          <t>SE502044770101</t>
        </is>
      </c>
      <c r="D10" s="3" t="inlineStr">
        <is>
          <t>26/652169828/011</t>
        </is>
      </c>
      <c r="E10" s="3" t="inlineStr">
        <is>
          <t>2026-05-31</t>
        </is>
      </c>
      <c r="F10" s="3" t="inlineStr">
        <is>
          <t>9</t>
        </is>
      </c>
      <c r="G10" s="3" t="inlineStr">
        <is>
          <t>Other - operating fluid (AdBlue)</t>
        </is>
      </c>
      <c r="H10" s="3" t="inlineStr">
        <is>
          <t>AdBlue</t>
        </is>
      </c>
      <c r="I10" s="3" t="inlineStr">
        <is>
          <t>SEK</t>
        </is>
      </c>
      <c r="J10" s="4" t="n">
        <v>2678.35</v>
      </c>
      <c r="K10" s="4" t="n">
        <v>669.61</v>
      </c>
      <c r="L10" s="4" t="n">
        <v>248.25</v>
      </c>
      <c r="M10" s="4" t="n">
        <v>62.08</v>
      </c>
      <c r="N10" s="3" t="inlineStr">
        <is>
          <t>LOCKED here</t>
        </is>
      </c>
      <c r="O10" s="3" t="inlineStr">
        <is>
          <t>4100100516_2026-05-31_SE_E-INVOICE_26-652169828-011.pdf [sha 19f6aeb5]</t>
        </is>
      </c>
    </row>
    <row r="11">
      <c r="A11" s="3" t="inlineStr">
        <is>
          <t>DKV</t>
        </is>
      </c>
      <c r="B11" s="3" t="inlineStr">
        <is>
          <t>DKV Euro Service GmbH + Co. KG</t>
        </is>
      </c>
      <c r="C11" s="3" t="inlineStr">
        <is>
          <t>SE502044770101</t>
        </is>
      </c>
      <c r="D11" s="3" t="inlineStr">
        <is>
          <t>26/652169828/011</t>
        </is>
      </c>
      <c r="E11" s="3" t="inlineStr">
        <is>
          <t>2026-05-31</t>
        </is>
      </c>
      <c r="F11" s="3" t="inlineStr">
        <is>
          <t>1</t>
        </is>
      </c>
      <c r="G11" s="3" t="inlineStr">
        <is>
          <t>Fuel</t>
        </is>
      </c>
      <c r="H11" s="3" t="inlineStr">
        <is>
          <t>Diesel</t>
        </is>
      </c>
      <c r="I11" s="3" t="inlineStr">
        <is>
          <t>SEK</t>
        </is>
      </c>
      <c r="J11" s="4" t="n">
        <v>109108.85</v>
      </c>
      <c r="K11" s="4" t="n">
        <v>27277.18</v>
      </c>
      <c r="L11" s="4" t="n">
        <v>10117.5</v>
      </c>
      <c r="M11" s="4" t="n">
        <v>2529.37</v>
      </c>
      <c r="N11" s="3" t="inlineStr">
        <is>
          <t>LOCKED here</t>
        </is>
      </c>
      <c r="O11" s="3" t="inlineStr">
        <is>
          <t>4100100516_2026-05-31_SE_E-INVOICE_26-652169828-011.pdf [sha 19f6aeb5]</t>
        </is>
      </c>
    </row>
    <row r="12">
      <c r="A12" s="3" t="inlineStr">
        <is>
          <t>DKV</t>
        </is>
      </c>
      <c r="B12" s="3" t="inlineStr">
        <is>
          <t>DKV Euro Service GmbH + Co. KG</t>
        </is>
      </c>
      <c r="C12" s="3" t="inlineStr">
        <is>
          <t>SE502044770101</t>
        </is>
      </c>
      <c r="D12" s="3" t="inlineStr">
        <is>
          <t>26/652169828/011</t>
        </is>
      </c>
      <c r="E12" s="3" t="inlineStr">
        <is>
          <t>2026-05-31</t>
        </is>
      </c>
      <c r="F12" s="3" t="inlineStr">
        <is>
          <t>1</t>
        </is>
      </c>
      <c r="G12" s="3" t="inlineStr">
        <is>
          <t>Fuel</t>
        </is>
      </c>
      <c r="H12" s="3" t="inlineStr">
        <is>
          <t>HVO</t>
        </is>
      </c>
      <c r="I12" s="3" t="inlineStr">
        <is>
          <t>SEK</t>
        </is>
      </c>
      <c r="J12" s="4" t="n">
        <v>5732.34</v>
      </c>
      <c r="K12" s="4" t="n">
        <v>1433.09</v>
      </c>
      <c r="L12" s="4" t="n">
        <v>534.26</v>
      </c>
      <c r="M12" s="4" t="n">
        <v>133.56</v>
      </c>
      <c r="N12" s="3" t="inlineStr">
        <is>
          <t>LOCKED here</t>
        </is>
      </c>
      <c r="O12" s="3" t="inlineStr">
        <is>
          <t>4100100516_2026-05-31_SE_E-INVOICE_26-652169828-011.pdf [sha 19f6aeb5]</t>
        </is>
      </c>
    </row>
    <row r="13">
      <c r="A13" s="3" t="inlineStr">
        <is>
          <t>DKV</t>
        </is>
      </c>
      <c r="B13" s="3" t="inlineStr">
        <is>
          <t>DKV Euro Service GmbH + Co. KG</t>
        </is>
      </c>
      <c r="C13" s="3" t="inlineStr">
        <is>
          <t>SE502044770101</t>
        </is>
      </c>
      <c r="D13" s="3" t="inlineStr">
        <is>
          <t>26/652169828/011</t>
        </is>
      </c>
      <c r="E13" s="3" t="inlineStr">
        <is>
          <t>2026-05-31</t>
        </is>
      </c>
      <c r="F13" s="3" t="inlineStr">
        <is>
          <t>9</t>
        </is>
      </c>
      <c r="G13" s="3" t="inlineStr">
        <is>
          <t>Other - parking</t>
        </is>
      </c>
      <c r="H13" s="3" t="inlineStr">
        <is>
          <t>Parking</t>
        </is>
      </c>
      <c r="I13" s="3" t="inlineStr">
        <is>
          <t>SEK</t>
        </is>
      </c>
      <c r="J13" s="4" t="n">
        <v>1144.99</v>
      </c>
      <c r="K13" s="4" t="n">
        <v>286.25</v>
      </c>
      <c r="L13" s="4" t="n">
        <v>106.32</v>
      </c>
      <c r="M13" s="4" t="n">
        <v>26.59</v>
      </c>
      <c r="N13" s="3" t="inlineStr">
        <is>
          <t>LOCKED here</t>
        </is>
      </c>
      <c r="O13" s="3" t="inlineStr">
        <is>
          <t>4100100516_2026-05-31_SE_E-INVOICE_26-652169828-011.pdf [sha 19f6aeb5]</t>
        </is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12">
        <f>SUM(J7:J13)</f>
        <v/>
      </c>
      <c r="K14" s="12">
        <f>SUM(K7:K13)</f>
        <v/>
      </c>
      <c r="L14" s="12">
        <f>SUM(L7:L13)</f>
        <v/>
      </c>
      <c r="M14" s="12">
        <f>SUM(M7:M13)</f>
        <v/>
      </c>
      <c r="N14" s="7" t="n"/>
      <c r="O14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SIA OMUSS -&gt; Poland -&gt; 2026-Q2</t>
        </is>
      </c>
    </row>
    <row r="2">
      <c r="A2" s="10" t="inlineStr">
        <is>
          <t>File via Latvian EDS (eds.vid.gov.lv); claim currency PLN; deadline 2027-09-30; verdict: READY (&gt;= 400 EUR quarterly min); QUARTER INCOMPLETE - missing 2026-04, 2026-06</t>
        </is>
      </c>
    </row>
    <row r="3">
      <c r="A3" s="5" t="inlineStr">
        <is>
          <t>APPLICANT: SIA OMUSS | Reg. no: INPUT: LV reg. nr. | VAT: INPUT: LV VAT number | Legal address: INPUT: legal address, Latvia</t>
        </is>
      </c>
    </row>
    <row r="4">
      <c r="A4" s="5" t="inlineStr">
        <is>
          <t>Refund payout account: INPUT: LV IBAN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BP</t>
        </is>
      </c>
      <c r="B7" s="3" t="inlineStr">
        <is>
          <t>B2Mobility GmbH / BP Europa SE (Poland invoicing)</t>
        </is>
      </c>
      <c r="C7" s="5" t="inlineStr">
        <is>
          <t>INPUT: NIP - INPUT from invoice 0261167596</t>
        </is>
      </c>
      <c r="D7" s="3" t="inlineStr">
        <is>
          <t>0261167596</t>
        </is>
      </c>
      <c r="E7" s="3" t="inlineStr">
        <is>
          <t>2026-06-01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PLN</t>
        </is>
      </c>
      <c r="J7" s="4" t="n">
        <v>309.65</v>
      </c>
      <c r="K7" s="4" t="n">
        <v>71.22</v>
      </c>
      <c r="L7" s="4" t="n">
        <v>72.51000000000001</v>
      </c>
      <c r="M7" s="4" t="n">
        <v>16.69</v>
      </c>
      <c r="N7" s="3" t="inlineStr">
        <is>
          <t>LOCKED here</t>
        </is>
      </c>
      <c r="O7" s="3" t="inlineStr">
        <is>
          <t>260601-2-PL-NI-0261167596-107928-130164EM10865-INV.pdf [sha e4dcd2cd]</t>
        </is>
      </c>
    </row>
    <row r="8">
      <c r="A8" s="3" t="inlineStr">
        <is>
          <t>BP</t>
        </is>
      </c>
      <c r="B8" s="3" t="inlineStr">
        <is>
          <t>B2Mobility GmbH / BP Europa SE (Poland invoicing)</t>
        </is>
      </c>
      <c r="C8" s="5" t="inlineStr">
        <is>
          <t>INPUT: NIP - INPUT from invoice 0261167596</t>
        </is>
      </c>
      <c r="D8" s="3" t="inlineStr">
        <is>
          <t>0261167596</t>
        </is>
      </c>
      <c r="E8" s="3" t="inlineStr">
        <is>
          <t>2026-06-01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PLN</t>
        </is>
      </c>
      <c r="J8" s="4" t="n">
        <v>65526.42</v>
      </c>
      <c r="K8" s="4" t="n">
        <v>5242.09</v>
      </c>
      <c r="L8" s="4" t="n">
        <v>15345.78</v>
      </c>
      <c r="M8" s="4" t="n">
        <v>1227.64</v>
      </c>
      <c r="N8" s="3" t="inlineStr">
        <is>
          <t>LOCKED here</t>
        </is>
      </c>
      <c r="O8" s="3" t="inlineStr">
        <is>
          <t>260601-2-PL-NI-0261167596-107928-130164EM10865-INV.pdf [sha e4dcd2cd]</t>
        </is>
      </c>
    </row>
    <row r="9">
      <c r="A9" s="3" t="inlineStr">
        <is>
          <t>BP</t>
        </is>
      </c>
      <c r="B9" s="3" t="inlineStr">
        <is>
          <t>B2Mobility GmbH / BP Europa SE (Poland invoicing)</t>
        </is>
      </c>
      <c r="C9" s="5" t="inlineStr">
        <is>
          <t>INPUT: NIP - INPUT from invoice 0261167596</t>
        </is>
      </c>
      <c r="D9" s="3" t="inlineStr">
        <is>
          <t>0261167596</t>
        </is>
      </c>
      <c r="E9" s="3" t="inlineStr">
        <is>
          <t>2026-06-01</t>
        </is>
      </c>
      <c r="F9" s="3" t="inlineStr">
        <is>
          <t>3</t>
        </is>
      </c>
      <c r="G9" s="3" t="inlineStr">
        <is>
          <t>Road tolls and road user charges</t>
        </is>
      </c>
      <c r="H9" s="3" t="inlineStr">
        <is>
          <t>Toll/Fees</t>
        </is>
      </c>
      <c r="I9" s="3" t="inlineStr">
        <is>
          <t>PLN</t>
        </is>
      </c>
      <c r="J9" s="4" t="n">
        <v>866.64</v>
      </c>
      <c r="K9" s="4" t="n">
        <v>199.34</v>
      </c>
      <c r="L9" s="4" t="n">
        <v>202.94</v>
      </c>
      <c r="M9" s="4" t="n">
        <v>46.72</v>
      </c>
      <c r="N9" s="3" t="inlineStr">
        <is>
          <t>LOCKED here</t>
        </is>
      </c>
      <c r="O9" s="3" t="inlineStr">
        <is>
          <t>260601-2-PL-NI-0261167596-107928-130164EM10865-INV.pdf [sha e4dcd2cd]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12">
        <f>SUM(J7:J9)</f>
        <v/>
      </c>
      <c r="K10" s="12">
        <f>SUM(K7:K9)</f>
        <v/>
      </c>
      <c r="L10" s="12">
        <f>SUM(L7:L9)</f>
        <v/>
      </c>
      <c r="M10" s="12">
        <f>SUM(M7:M9)</f>
        <v/>
      </c>
      <c r="N10" s="7" t="n"/>
      <c r="O10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UAB Motiejausko Transportas -&gt; Belgium -&gt; 2026-Q2</t>
        </is>
      </c>
    </row>
    <row r="2">
      <c r="A2" s="10" t="inlineStr">
        <is>
          <t>File via Lithuanian Mano VMI / EPRIS; claim currency EUR; deadline 2027-09-30; verdict: READY (&gt;= 400 EUR quarterly min); QUARTER INCOMPLETE - missing 2026-04, 2026-06</t>
        </is>
      </c>
    </row>
    <row r="3">
      <c r="A3" s="5" t="inlineStr">
        <is>
          <t>APPLICANT: UAB Motiejausko Transportas | Reg. no: INPUT: LT imones kodas | VAT: INPUT: LT PVM kodas | Legal address: INPUT: legal address, Lithuania</t>
        </is>
      </c>
    </row>
    <row r="4">
      <c r="A4" s="5" t="inlineStr">
        <is>
          <t>Refund payout account: INPUT: LT IBAN (M)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TFC</t>
        </is>
      </c>
      <c r="B7" s="3" t="inlineStr">
        <is>
          <t>TFC by Moya</t>
        </is>
      </c>
      <c r="C7" s="5" t="inlineStr">
        <is>
          <t>INPUT: INPUT from invoice 26056012270</t>
        </is>
      </c>
      <c r="D7" s="3" t="inlineStr">
        <is>
          <t>26056012270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EUR</t>
        </is>
      </c>
      <c r="J7" s="4" t="n">
        <v>885.8</v>
      </c>
      <c r="K7" s="4" t="n">
        <v>185.99</v>
      </c>
      <c r="L7" s="4" t="n">
        <v>885.8</v>
      </c>
      <c r="M7" s="4" t="n">
        <v>185.99</v>
      </c>
      <c r="N7" s="3" t="inlineStr">
        <is>
          <t>free</t>
        </is>
      </c>
      <c r="O7" s="3" t="inlineStr">
        <is>
          <t>26056012270.pdf [sha 91131b53]</t>
        </is>
      </c>
    </row>
    <row r="8">
      <c r="A8" s="3" t="inlineStr">
        <is>
          <t>TFC</t>
        </is>
      </c>
      <c r="B8" s="3" t="inlineStr">
        <is>
          <t>TFC by Moya</t>
        </is>
      </c>
      <c r="C8" s="5" t="inlineStr">
        <is>
          <t>INPUT: INPUT from invoice 26056012270</t>
        </is>
      </c>
      <c r="D8" s="3" t="inlineStr">
        <is>
          <t>26056012270</t>
        </is>
      </c>
      <c r="E8" s="3" t="inlineStr">
        <is>
          <t>2026-05-31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EUR</t>
        </is>
      </c>
      <c r="J8" s="4" t="n">
        <v>41568.74</v>
      </c>
      <c r="K8" s="4" t="n">
        <v>8729.43</v>
      </c>
      <c r="L8" s="4" t="n">
        <v>41568.74</v>
      </c>
      <c r="M8" s="4" t="n">
        <v>8729.43</v>
      </c>
      <c r="N8" s="3" t="inlineStr">
        <is>
          <t>free</t>
        </is>
      </c>
      <c r="O8" s="3" t="inlineStr">
        <is>
          <t>26056012270.pdf [sha 91131b53]</t>
        </is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12">
        <f>SUM(J7:J8)</f>
        <v/>
      </c>
      <c r="K9" s="12">
        <f>SUM(K7:K8)</f>
        <v/>
      </c>
      <c r="L9" s="12">
        <f>SUM(L7:L8)</f>
        <v/>
      </c>
      <c r="M9" s="12">
        <f>SUM(M7:M8)</f>
        <v/>
      </c>
      <c r="N9" s="7" t="n"/>
      <c r="O9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UAB Vestroidas -&gt; Belgium -&gt; 2026-Q2</t>
        </is>
      </c>
    </row>
    <row r="2">
      <c r="A2" s="10" t="inlineStr">
        <is>
          <t>File via Lithuanian Mano VMI / EPRIS; claim currency EUR; deadline 2027-09-30; verdict: READY (&gt;= 400 EUR quarterly min); QUARTER INCOMPLETE - missing 2026-04, 2026-06</t>
        </is>
      </c>
    </row>
    <row r="3">
      <c r="A3" s="5" t="inlineStr">
        <is>
          <t>APPLICANT: UAB Vestroidas | Reg. no: INPUT: LT imones kodas | VAT: LT100006205817 | Legal address: INPUT: legal address, Lithuania</t>
        </is>
      </c>
    </row>
    <row r="4">
      <c r="A4" s="5" t="inlineStr">
        <is>
          <t>Refund payout account: INPUT: LT IBAN (V)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E100</t>
        </is>
      </c>
      <c r="B7" s="3" t="inlineStr">
        <is>
          <t>E100 International Trade sp. z o.o.</t>
        </is>
      </c>
      <c r="C7" s="3" t="inlineStr">
        <is>
          <t>BE0676647155</t>
        </is>
      </c>
      <c r="D7" s="3" t="inlineStr">
        <is>
          <t>BE98759/5539713</t>
        </is>
      </c>
      <c r="E7" s="3" t="inlineStr">
        <is>
          <t>2026-05-15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EUR</t>
        </is>
      </c>
      <c r="J7" s="4" t="n">
        <v>1446.29</v>
      </c>
      <c r="K7" s="4" t="n">
        <v>303.71</v>
      </c>
      <c r="L7" s="4" t="n">
        <v>1446.29</v>
      </c>
      <c r="M7" s="4" t="n">
        <v>303.71</v>
      </c>
      <c r="N7" s="3" t="inlineStr">
        <is>
          <t>LOCKED here</t>
        </is>
      </c>
      <c r="O7" s="3" t="inlineStr">
        <is>
          <t>BE98759_5539713.pdf [sha c85f46ca]</t>
        </is>
      </c>
    </row>
    <row r="8">
      <c r="A8" s="3" t="inlineStr">
        <is>
          <t>E100</t>
        </is>
      </c>
      <c r="B8" s="3" t="inlineStr">
        <is>
          <t>E100 International Trade sp. z o.o.</t>
        </is>
      </c>
      <c r="C8" s="3" t="inlineStr">
        <is>
          <t>BE0676647155</t>
        </is>
      </c>
      <c r="D8" s="3" t="inlineStr">
        <is>
          <t>BE98759/5539713</t>
        </is>
      </c>
      <c r="E8" s="3" t="inlineStr">
        <is>
          <t>2026-05-15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EUR</t>
        </is>
      </c>
      <c r="J8" s="4" t="n">
        <v>36562.03</v>
      </c>
      <c r="K8" s="4" t="n">
        <v>7678.01</v>
      </c>
      <c r="L8" s="4" t="n">
        <v>36562.03</v>
      </c>
      <c r="M8" s="4" t="n">
        <v>7678.01</v>
      </c>
      <c r="N8" s="3" t="inlineStr">
        <is>
          <t>LOCKED here</t>
        </is>
      </c>
      <c r="O8" s="3" t="inlineStr">
        <is>
          <t>BE98759_5539713.pdf [sha c85f46ca]</t>
        </is>
      </c>
    </row>
    <row r="9">
      <c r="A9" s="3" t="inlineStr">
        <is>
          <t>E100</t>
        </is>
      </c>
      <c r="B9" s="3" t="inlineStr">
        <is>
          <t>E100 International Trade sp. z o.o.</t>
        </is>
      </c>
      <c r="C9" s="3" t="inlineStr">
        <is>
          <t>BE0676647155</t>
        </is>
      </c>
      <c r="D9" s="3" t="inlineStr">
        <is>
          <t>BE99954/5586443</t>
        </is>
      </c>
      <c r="E9" s="3" t="inlineStr">
        <is>
          <t>2026-05-31</t>
        </is>
      </c>
      <c r="F9" s="3" t="inlineStr">
        <is>
          <t>9</t>
        </is>
      </c>
      <c r="G9" s="3" t="inlineStr">
        <is>
          <t>Other - operating fluid (AdBlue)</t>
        </is>
      </c>
      <c r="H9" s="3" t="inlineStr">
        <is>
          <t>AdBlue</t>
        </is>
      </c>
      <c r="I9" s="3" t="inlineStr">
        <is>
          <t>EUR</t>
        </is>
      </c>
      <c r="J9" s="4" t="n">
        <v>1648.59</v>
      </c>
      <c r="K9" s="4" t="n">
        <v>346.19</v>
      </c>
      <c r="L9" s="4" t="n">
        <v>1648.59</v>
      </c>
      <c r="M9" s="4" t="n">
        <v>346.19</v>
      </c>
      <c r="N9" s="3" t="inlineStr">
        <is>
          <t>LOCKED here</t>
        </is>
      </c>
      <c r="O9" s="3" t="inlineStr">
        <is>
          <t>BE99954_5586443.pdf [sha 4823ed16]</t>
        </is>
      </c>
    </row>
    <row r="10">
      <c r="A10" s="3" t="inlineStr">
        <is>
          <t>E100</t>
        </is>
      </c>
      <c r="B10" s="3" t="inlineStr">
        <is>
          <t>E100 International Trade sp. z o.o.</t>
        </is>
      </c>
      <c r="C10" s="3" t="inlineStr">
        <is>
          <t>BE0676647155</t>
        </is>
      </c>
      <c r="D10" s="3" t="inlineStr">
        <is>
          <t>BE99954/5586443</t>
        </is>
      </c>
      <c r="E10" s="3" t="inlineStr">
        <is>
          <t>2026-05-31</t>
        </is>
      </c>
      <c r="F10" s="3" t="inlineStr">
        <is>
          <t>1</t>
        </is>
      </c>
      <c r="G10" s="3" t="inlineStr">
        <is>
          <t>Fuel</t>
        </is>
      </c>
      <c r="H10" s="3" t="inlineStr">
        <is>
          <t>Diesel</t>
        </is>
      </c>
      <c r="I10" s="3" t="inlineStr">
        <is>
          <t>EUR</t>
        </is>
      </c>
      <c r="J10" s="4" t="n">
        <v>38360.05</v>
      </c>
      <c r="K10" s="4" t="n">
        <v>8055.61</v>
      </c>
      <c r="L10" s="4" t="n">
        <v>38360.05</v>
      </c>
      <c r="M10" s="4" t="n">
        <v>8055.61</v>
      </c>
      <c r="N10" s="3" t="inlineStr">
        <is>
          <t>LOCKED here</t>
        </is>
      </c>
      <c r="O10" s="3" t="inlineStr">
        <is>
          <t>BE99954_5586443.pdf [sha 4823ed16]</t>
        </is>
      </c>
    </row>
    <row r="11">
      <c r="A11" s="3" t="inlineStr">
        <is>
          <t>E100</t>
        </is>
      </c>
      <c r="B11" s="3" t="inlineStr">
        <is>
          <t>E100 International Trade sp. z o.o.</t>
        </is>
      </c>
      <c r="C11" s="3" t="inlineStr">
        <is>
          <t>BE0676647155</t>
        </is>
      </c>
      <c r="D11" s="3" t="inlineStr">
        <is>
          <t>BE99954/5586443</t>
        </is>
      </c>
      <c r="E11" s="3" t="inlineStr">
        <is>
          <t>2026-05-31</t>
        </is>
      </c>
      <c r="F11" s="3" t="inlineStr">
        <is>
          <t>9</t>
        </is>
      </c>
      <c r="G11" s="3" t="inlineStr">
        <is>
          <t>Other - parking</t>
        </is>
      </c>
      <c r="H11" s="3" t="inlineStr">
        <is>
          <t>Parking</t>
        </is>
      </c>
      <c r="I11" s="3" t="inlineStr">
        <is>
          <t>EUR</t>
        </is>
      </c>
      <c r="J11" s="4" t="n">
        <v>30.3</v>
      </c>
      <c r="K11" s="4" t="n">
        <v>6.36</v>
      </c>
      <c r="L11" s="4" t="n">
        <v>30.3</v>
      </c>
      <c r="M11" s="4" t="n">
        <v>6.36</v>
      </c>
      <c r="N11" s="3" t="inlineStr">
        <is>
          <t>LOCKED here</t>
        </is>
      </c>
      <c r="O11" s="3" t="inlineStr">
        <is>
          <t>BE99954_5586443.pdf [sha 4823ed16]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12">
        <f>SUM(J7:J11)</f>
        <v/>
      </c>
      <c r="K12" s="12">
        <f>SUM(K7:K11)</f>
        <v/>
      </c>
      <c r="L12" s="12">
        <f>SUM(L7:L11)</f>
        <v/>
      </c>
      <c r="M12" s="12">
        <f>SUM(M7:M11)</f>
        <v/>
      </c>
      <c r="N12" s="7" t="n"/>
      <c r="O12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11" customWidth="1" min="5" max="5"/>
    <col width="7" customWidth="1" min="6" max="6"/>
    <col width="26" customWidth="1" min="7" max="7"/>
    <col width="11" customWidth="1" min="8" max="8"/>
    <col width="5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40" customWidth="1" min="15" max="15"/>
  </cols>
  <sheetData>
    <row r="1">
      <c r="A1" s="9" t="inlineStr">
        <is>
          <t>CLAIM PACK: UAB Zaukos Transportas -&gt; Spain -&gt; 2026-Q2</t>
        </is>
      </c>
    </row>
    <row r="2">
      <c r="A2" s="10" t="inlineStr">
        <is>
          <t>File via Lithuanian Mano VMI / EPRIS; claim currency EUR; deadline 2027-09-30; verdict: READY (&gt;= 400 EUR quarterly min); QUARTER INCOMPLETE - missing 2026-04, 2026-06</t>
        </is>
      </c>
    </row>
    <row r="3">
      <c r="A3" s="5" t="inlineStr">
        <is>
          <t>APPLICANT: UAB Zaukos Transportas | Reg. no: INPUT: LT imones kodas | VAT: LT714494413 | Legal address: Dariaus ir Gireno g. 138, 82-0141 Radviliskis, Lithuania</t>
        </is>
      </c>
    </row>
    <row r="4">
      <c r="A4" s="5" t="inlineStr">
        <is>
          <t>Refund payout account: INPUT: LT IBAN (Z) (INPUT, EUR)</t>
        </is>
      </c>
    </row>
    <row r="6">
      <c r="A6" s="2" t="inlineStr">
        <is>
          <t>Supplier</t>
        </is>
      </c>
      <c r="B6" s="2" t="inlineStr">
        <is>
          <t>Issuer (invoice party)</t>
        </is>
      </c>
      <c r="C6" s="2" t="inlineStr">
        <is>
          <t>Issuer VAT ID</t>
        </is>
      </c>
      <c r="D6" s="2" t="inlineStr">
        <is>
          <t>Invoice ref</t>
        </is>
      </c>
      <c r="E6" s="2" t="inlineStr">
        <is>
          <t>Invoice date</t>
        </is>
      </c>
      <c r="F6" s="2" t="inlineStr">
        <is>
          <t>Goods code</t>
        </is>
      </c>
      <c r="G6" s="2" t="inlineStr">
        <is>
          <t>Code description</t>
        </is>
      </c>
      <c r="H6" s="2" t="inlineStr">
        <is>
          <t>Product</t>
        </is>
      </c>
      <c r="I6" s="2" t="inlineStr">
        <is>
          <t>Ccy</t>
        </is>
      </c>
      <c r="J6" s="2" t="inlineStr">
        <is>
          <t>Taxable base (local)</t>
        </is>
      </c>
      <c r="K6" s="2" t="inlineStr">
        <is>
          <t>VAT (local)</t>
        </is>
      </c>
      <c r="L6" s="2" t="inlineStr">
        <is>
          <t>Net EUR</t>
        </is>
      </c>
      <c r="M6" s="2" t="inlineStr">
        <is>
          <t>VAT EUR</t>
        </is>
      </c>
      <c r="N6" s="2" t="inlineStr">
        <is>
          <t>Duplicate control</t>
        </is>
      </c>
      <c r="O6" s="2" t="inlineStr">
        <is>
          <t>Document(s) attached</t>
        </is>
      </c>
    </row>
    <row r="7">
      <c r="A7" s="3" t="inlineStr">
        <is>
          <t>MOEVE</t>
        </is>
      </c>
      <c r="B7" s="3" t="inlineStr">
        <is>
          <t>Moeve Pro Services, S.A.U. (ex-Cepsa)</t>
        </is>
      </c>
      <c r="C7" s="3" t="inlineStr">
        <is>
          <t>ESA25009192</t>
        </is>
      </c>
      <c r="D7" s="3" t="inlineStr">
        <is>
          <t>BA72400000187538</t>
        </is>
      </c>
      <c r="E7" s="3" t="inlineStr">
        <is>
          <t>2026-05-31</t>
        </is>
      </c>
      <c r="F7" s="3" t="inlineStr">
        <is>
          <t>9</t>
        </is>
      </c>
      <c r="G7" s="3" t="inlineStr">
        <is>
          <t>Other - operating fluid (AdBlue)</t>
        </is>
      </c>
      <c r="H7" s="3" t="inlineStr">
        <is>
          <t>AdBlue</t>
        </is>
      </c>
      <c r="I7" s="3" t="inlineStr">
        <is>
          <t>EUR</t>
        </is>
      </c>
      <c r="J7" s="4" t="n">
        <v>999.4299999999999</v>
      </c>
      <c r="K7" s="4" t="n">
        <v>209.93</v>
      </c>
      <c r="L7" s="4" t="n">
        <v>999.4299999999999</v>
      </c>
      <c r="M7" s="4" t="n">
        <v>209.93</v>
      </c>
      <c r="N7" s="3" t="inlineStr">
        <is>
          <t>free</t>
        </is>
      </c>
      <c r="O7" s="3" t="inlineStr">
        <is>
          <t>BA72400000187538.pdf [sha b366476e]</t>
        </is>
      </c>
    </row>
    <row r="8">
      <c r="A8" s="3" t="inlineStr">
        <is>
          <t>MOEVE</t>
        </is>
      </c>
      <c r="B8" s="3" t="inlineStr">
        <is>
          <t>Moeve Pro Services, S.A.U. (ex-Cepsa)</t>
        </is>
      </c>
      <c r="C8" s="3" t="inlineStr">
        <is>
          <t>ESA25009192</t>
        </is>
      </c>
      <c r="D8" s="3" t="inlineStr">
        <is>
          <t>BA72400000187538</t>
        </is>
      </c>
      <c r="E8" s="3" t="inlineStr">
        <is>
          <t>2026-05-31</t>
        </is>
      </c>
      <c r="F8" s="3" t="inlineStr">
        <is>
          <t>1</t>
        </is>
      </c>
      <c r="G8" s="3" t="inlineStr">
        <is>
          <t>Fuel</t>
        </is>
      </c>
      <c r="H8" s="3" t="inlineStr">
        <is>
          <t>Diesel</t>
        </is>
      </c>
      <c r="I8" s="3" t="inlineStr">
        <is>
          <t>EUR</t>
        </is>
      </c>
      <c r="J8" s="4" t="n">
        <v>54796.26</v>
      </c>
      <c r="K8" s="4" t="n">
        <v>5479.6</v>
      </c>
      <c r="L8" s="4" t="n">
        <v>54796.26</v>
      </c>
      <c r="M8" s="4" t="n">
        <v>5479.6</v>
      </c>
      <c r="N8" s="3" t="inlineStr">
        <is>
          <t>free</t>
        </is>
      </c>
      <c r="O8" s="3" t="inlineStr">
        <is>
          <t>BA72400000187538.pdf [sha b366476e]</t>
        </is>
      </c>
    </row>
    <row r="9">
      <c r="A9" s="3" t="inlineStr">
        <is>
          <t>MOEVE</t>
        </is>
      </c>
      <c r="B9" s="3" t="inlineStr">
        <is>
          <t>Moeve Pro Services, S.A.U. (ex-Cepsa)</t>
        </is>
      </c>
      <c r="C9" s="3" t="inlineStr">
        <is>
          <t>ESA25009192</t>
        </is>
      </c>
      <c r="D9" s="3" t="inlineStr">
        <is>
          <t>BA72400000187538</t>
        </is>
      </c>
      <c r="E9" s="3" t="inlineStr">
        <is>
          <t>2026-05-31</t>
        </is>
      </c>
      <c r="F9" s="3" t="inlineStr">
        <is>
          <t>1</t>
        </is>
      </c>
      <c r="G9" s="3" t="inlineStr">
        <is>
          <t>Fuel (price correction)</t>
        </is>
      </c>
      <c r="H9" s="3" t="inlineStr">
        <is>
          <t>Promo adj</t>
        </is>
      </c>
      <c r="I9" s="3" t="inlineStr">
        <is>
          <t>EUR</t>
        </is>
      </c>
      <c r="J9" s="4" t="n">
        <v>-170.66</v>
      </c>
      <c r="K9" s="4" t="n">
        <v>-17.38</v>
      </c>
      <c r="L9" s="4" t="n">
        <v>-170.66</v>
      </c>
      <c r="M9" s="4" t="n">
        <v>-17.38</v>
      </c>
      <c r="N9" s="3" t="inlineStr">
        <is>
          <t>free</t>
        </is>
      </c>
      <c r="O9" s="3" t="inlineStr">
        <is>
          <t>BA72400000187538.pdf [sha b366476e]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12">
        <f>SUM(J7:J9)</f>
        <v/>
      </c>
      <c r="K10" s="12">
        <f>SUM(K7:K9)</f>
        <v/>
      </c>
      <c r="L10" s="12">
        <f>SUM(L7:L9)</f>
        <v/>
      </c>
      <c r="M10" s="12">
        <f>SUM(M7:M9)</f>
        <v/>
      </c>
      <c r="N10" s="7" t="n"/>
      <c r="O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2026-06-11T16:11:35Z</dcterms:created>
  <dcterms:modified xsi:type="dcterms:W3CDTF">2026-06-11T16:11:35Z</dcterms:modified>
</cp:coreProperties>
</file>