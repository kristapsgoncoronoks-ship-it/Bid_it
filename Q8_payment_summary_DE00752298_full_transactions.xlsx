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Card totals check" sheetId="2" state="visible" r:id="rId4"/>
    <sheet name="Country VAT check" sheetId="3" state="visible" r:id="rId5"/>
    <sheet name="Grand total check" sheetId="4" state="visible" r:id="rId6"/>
  </sheets>
  <definedNames>
    <definedName function="false" hidden="true" localSheetId="0" name="_xlnm._FilterDatabase" vbProcedure="false">Transactions!$A$1:$P$95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<sst xmlns="http://schemas.openxmlformats.org/spreadsheetml/2006/main" count="737" uniqueCount="196">
  <si>
    <t xml:space="preserve">Card</t>
  </si>
  <si>
    <t xml:space="preserve">Date</t>
  </si>
  <si>
    <t xml:space="preserve">Time</t>
  </si>
  <si>
    <t xml:space="preserve">Product</t>
  </si>
  <si>
    <t xml:space="preserve">Station</t>
  </si>
  <si>
    <t xml:space="preserve">Country</t>
  </si>
  <si>
    <t xml:space="preserve">VAT %</t>
  </si>
  <si>
    <t xml:space="preserve">Currency</t>
  </si>
  <si>
    <t xml:space="preserve">Local price</t>
  </si>
  <si>
    <t xml:space="preserve">FX (EUR/cur)</t>
  </si>
  <si>
    <t xml:space="preserve">Net price EUR/L</t>
  </si>
  <si>
    <t xml:space="preserve">Quantity L</t>
  </si>
  <si>
    <t xml:space="preserve">Net amount EUR (doc)</t>
  </si>
  <si>
    <t xml:space="preserve">Calc: EUR price x Qty</t>
  </si>
  <si>
    <t xml:space="preserve">Diff</t>
  </si>
  <si>
    <t xml:space="preserve">Check</t>
  </si>
  <si>
    <t xml:space="preserve">11525 042</t>
  </si>
  <si>
    <t xml:space="preserve">18/05/26</t>
  </si>
  <si>
    <t xml:space="preserve">06:30</t>
  </si>
  <si>
    <t xml:space="preserve">DIESEL</t>
  </si>
  <si>
    <t xml:space="preserve">Zeebrugge</t>
  </si>
  <si>
    <t xml:space="preserve">Belgium</t>
  </si>
  <si>
    <t xml:space="preserve">EUR</t>
  </si>
  <si>
    <t xml:space="preserve">20/05/26</t>
  </si>
  <si>
    <t xml:space="preserve">15:54</t>
  </si>
  <si>
    <t xml:space="preserve">11533 043</t>
  </si>
  <si>
    <t xml:space="preserve">30/05/26</t>
  </si>
  <si>
    <t xml:space="preserve">09:16</t>
  </si>
  <si>
    <t xml:space="preserve">Gasoil N</t>
  </si>
  <si>
    <t xml:space="preserve">Langres_Rolampont</t>
  </si>
  <si>
    <t xml:space="preserve">France</t>
  </si>
  <si>
    <t xml:space="preserve">11541 044</t>
  </si>
  <si>
    <t xml:space="preserve">08:39</t>
  </si>
  <si>
    <t xml:space="preserve">AdBlue</t>
  </si>
  <si>
    <t xml:space="preserve">IRUN ARASO</t>
  </si>
  <si>
    <t xml:space="preserve">Spain</t>
  </si>
  <si>
    <t xml:space="preserve">21/05/26</t>
  </si>
  <si>
    <t xml:space="preserve">12:23</t>
  </si>
  <si>
    <t xml:space="preserve">08:29</t>
  </si>
  <si>
    <t xml:space="preserve">GASOIL</t>
  </si>
  <si>
    <t xml:space="preserve">12:10</t>
  </si>
  <si>
    <t xml:space="preserve">25/05/26</t>
  </si>
  <si>
    <t xml:space="preserve">13:36</t>
  </si>
  <si>
    <t xml:space="preserve">27/05/26</t>
  </si>
  <si>
    <t xml:space="preserve">17:22</t>
  </si>
  <si>
    <t xml:space="preserve">11558 045</t>
  </si>
  <si>
    <t xml:space="preserve">13:05</t>
  </si>
  <si>
    <t xml:space="preserve">Waregem</t>
  </si>
  <si>
    <t xml:space="preserve">09:00</t>
  </si>
  <si>
    <t xml:space="preserve">11657 010</t>
  </si>
  <si>
    <t xml:space="preserve">13:45</t>
  </si>
  <si>
    <t xml:space="preserve">11665 011</t>
  </si>
  <si>
    <t xml:space="preserve">09:21</t>
  </si>
  <si>
    <t xml:space="preserve">26/05/26</t>
  </si>
  <si>
    <t xml:space="preserve">17:57</t>
  </si>
  <si>
    <t xml:space="preserve">11673 012</t>
  </si>
  <si>
    <t xml:space="preserve">28/05/26</t>
  </si>
  <si>
    <t xml:space="preserve">16:58</t>
  </si>
  <si>
    <t xml:space="preserve">23/05/26</t>
  </si>
  <si>
    <t xml:space="preserve">10:12</t>
  </si>
  <si>
    <t xml:space="preserve">16:47</t>
  </si>
  <si>
    <t xml:space="preserve">17:49</t>
  </si>
  <si>
    <t xml:space="preserve">Tournai</t>
  </si>
  <si>
    <t xml:space="preserve">11715 016</t>
  </si>
  <si>
    <t xml:space="preserve">11:28</t>
  </si>
  <si>
    <t xml:space="preserve">11:21</t>
  </si>
  <si>
    <t xml:space="preserve">22/05/26</t>
  </si>
  <si>
    <t xml:space="preserve">06:11</t>
  </si>
  <si>
    <t xml:space="preserve">17:03</t>
  </si>
  <si>
    <t xml:space="preserve">13:02</t>
  </si>
  <si>
    <t xml:space="preserve">11731 018</t>
  </si>
  <si>
    <t xml:space="preserve">19/05/26</t>
  </si>
  <si>
    <t xml:space="preserve">16:18</t>
  </si>
  <si>
    <t xml:space="preserve">16:09</t>
  </si>
  <si>
    <t xml:space="preserve">11749 019</t>
  </si>
  <si>
    <t xml:space="preserve">29/05/26</t>
  </si>
  <si>
    <t xml:space="preserve">08:57</t>
  </si>
  <si>
    <t xml:space="preserve">IDS ADBLUE</t>
  </si>
  <si>
    <t xml:space="preserve">LÅSBY_KALBYGAARD</t>
  </si>
  <si>
    <t xml:space="preserve">Denmark</t>
  </si>
  <si>
    <t xml:space="preserve">DKK</t>
  </si>
  <si>
    <t xml:space="preserve">09:04</t>
  </si>
  <si>
    <t xml:space="preserve">GOEASY IDS TRUCK DIESEL</t>
  </si>
  <si>
    <t xml:space="preserve">09:10</t>
  </si>
  <si>
    <t xml:space="preserve">11756 020</t>
  </si>
  <si>
    <t xml:space="preserve">16:32</t>
  </si>
  <si>
    <t xml:space="preserve">Bierset_Liège Air</t>
  </si>
  <si>
    <t xml:space="preserve">06:45</t>
  </si>
  <si>
    <t xml:space="preserve">KØGE_E20</t>
  </si>
  <si>
    <t xml:space="preserve">16:22</t>
  </si>
  <si>
    <t xml:space="preserve">06:24</t>
  </si>
  <si>
    <t xml:space="preserve">06:36</t>
  </si>
  <si>
    <t xml:space="preserve">11764 021</t>
  </si>
  <si>
    <t xml:space="preserve">14:12</t>
  </si>
  <si>
    <t xml:space="preserve">18:23</t>
  </si>
  <si>
    <t xml:space="preserve">VALCARCE-LA JUNQU</t>
  </si>
  <si>
    <t xml:space="preserve">18:32</t>
  </si>
  <si>
    <t xml:space="preserve">17:53</t>
  </si>
  <si>
    <t xml:space="preserve">14:15</t>
  </si>
  <si>
    <t xml:space="preserve">11772 022</t>
  </si>
  <si>
    <t xml:space="preserve">17:28</t>
  </si>
  <si>
    <t xml:space="preserve">12:43</t>
  </si>
  <si>
    <t xml:space="preserve">12:50</t>
  </si>
  <si>
    <t xml:space="preserve">11780 023</t>
  </si>
  <si>
    <t xml:space="preserve">08:36</t>
  </si>
  <si>
    <t xml:space="preserve">Lübeck</t>
  </si>
  <si>
    <t xml:space="preserve">Germany</t>
  </si>
  <si>
    <t xml:space="preserve">19:40</t>
  </si>
  <si>
    <t xml:space="preserve">06:59</t>
  </si>
  <si>
    <t xml:space="preserve">08:31</t>
  </si>
  <si>
    <t xml:space="preserve">12:41</t>
  </si>
  <si>
    <t xml:space="preserve">19:31</t>
  </si>
  <si>
    <t xml:space="preserve">11806 024</t>
  </si>
  <si>
    <t xml:space="preserve">10:00</t>
  </si>
  <si>
    <t xml:space="preserve">13:52</t>
  </si>
  <si>
    <t xml:space="preserve">11814 025</t>
  </si>
  <si>
    <t xml:space="preserve">18:46</t>
  </si>
  <si>
    <t xml:space="preserve">18:34</t>
  </si>
  <si>
    <t xml:space="preserve">11822 026</t>
  </si>
  <si>
    <t xml:space="preserve">07:50</t>
  </si>
  <si>
    <t xml:space="preserve">07:55</t>
  </si>
  <si>
    <t xml:space="preserve">16/05/26</t>
  </si>
  <si>
    <t xml:space="preserve">04:49</t>
  </si>
  <si>
    <t xml:space="preserve">07:41</t>
  </si>
  <si>
    <t xml:space="preserve">11830 027</t>
  </si>
  <si>
    <t xml:space="preserve">13:42</t>
  </si>
  <si>
    <t xml:space="preserve">11863 032</t>
  </si>
  <si>
    <t xml:space="preserve">10:24</t>
  </si>
  <si>
    <t xml:space="preserve">15:44</t>
  </si>
  <si>
    <t xml:space="preserve">10:14</t>
  </si>
  <si>
    <t xml:space="preserve">16:00</t>
  </si>
  <si>
    <t xml:space="preserve">11871 033</t>
  </si>
  <si>
    <t xml:space="preserve">11889 034</t>
  </si>
  <si>
    <t xml:space="preserve">09:45</t>
  </si>
  <si>
    <t xml:space="preserve">09:12</t>
  </si>
  <si>
    <t xml:space="preserve">09:24</t>
  </si>
  <si>
    <t xml:space="preserve">11897 035</t>
  </si>
  <si>
    <t xml:space="preserve">11:50</t>
  </si>
  <si>
    <t xml:space="preserve">AdB. L</t>
  </si>
  <si>
    <t xml:space="preserve">Slubice</t>
  </si>
  <si>
    <t xml:space="preserve">Poland</t>
  </si>
  <si>
    <t xml:space="preserve">PLN</t>
  </si>
  <si>
    <t xml:space="preserve">12:58</t>
  </si>
  <si>
    <t xml:space="preserve">11947 038</t>
  </si>
  <si>
    <t xml:space="preserve">12:57</t>
  </si>
  <si>
    <t xml:space="preserve">Zelzate</t>
  </si>
  <si>
    <t xml:space="preserve">10:04</t>
  </si>
  <si>
    <t xml:space="preserve">Sattledt</t>
  </si>
  <si>
    <t xml:space="preserve">Austria</t>
  </si>
  <si>
    <t xml:space="preserve">10:10</t>
  </si>
  <si>
    <t xml:space="preserve">11954 039</t>
  </si>
  <si>
    <t xml:space="preserve">21:19</t>
  </si>
  <si>
    <t xml:space="preserve">13:38</t>
  </si>
  <si>
    <t xml:space="preserve">11962 040</t>
  </si>
  <si>
    <t xml:space="preserve">16:38</t>
  </si>
  <si>
    <t xml:space="preserve">10:38</t>
  </si>
  <si>
    <t xml:space="preserve">16:29</t>
  </si>
  <si>
    <t xml:space="preserve">12036 051</t>
  </si>
  <si>
    <t xml:space="preserve">18:00</t>
  </si>
  <si>
    <t xml:space="preserve">16:54</t>
  </si>
  <si>
    <t xml:space="preserve">14:07</t>
  </si>
  <si>
    <t xml:space="preserve">14:10</t>
  </si>
  <si>
    <t xml:space="preserve">17:56</t>
  </si>
  <si>
    <t xml:space="preserve">09:40</t>
  </si>
  <si>
    <t xml:space="preserve">12044 052</t>
  </si>
  <si>
    <t xml:space="preserve">11:37</t>
  </si>
  <si>
    <t xml:space="preserve">Chambery</t>
  </si>
  <si>
    <t xml:space="preserve">17:23</t>
  </si>
  <si>
    <t xml:space="preserve">Lyon_Corbas</t>
  </si>
  <si>
    <t xml:space="preserve">11:24</t>
  </si>
  <si>
    <t xml:space="preserve">12085 055</t>
  </si>
  <si>
    <t xml:space="preserve">06:49</t>
  </si>
  <si>
    <t xml:space="preserve">PADBORG</t>
  </si>
  <si>
    <t xml:space="preserve">06:23</t>
  </si>
  <si>
    <t xml:space="preserve">06:44</t>
  </si>
  <si>
    <t xml:space="preserve">12127 049</t>
  </si>
  <si>
    <t xml:space="preserve">Liège Herstal</t>
  </si>
  <si>
    <t xml:space="preserve">19:42</t>
  </si>
  <si>
    <t xml:space="preserve">Stated card total EUR</t>
  </si>
  <si>
    <t xml:space="preserve">Calc: sum of lines</t>
  </si>
  <si>
    <t xml:space="preserve">TOTAL</t>
  </si>
  <si>
    <t xml:space="preserve">Net (summary doc)</t>
  </si>
  <si>
    <t xml:space="preserve">Calc net from transactions</t>
  </si>
  <si>
    <t xml:space="preserve">VAT (doc)</t>
  </si>
  <si>
    <t xml:space="preserve">Calc VAT = net x rate</t>
  </si>
  <si>
    <t xml:space="preserve">Gross (doc)</t>
  </si>
  <si>
    <t xml:space="preserve">Spain (AdBlue)</t>
  </si>
  <si>
    <t xml:space="preserve">Spain (GASOIL)</t>
  </si>
  <si>
    <t xml:space="preserve">Controls: Transaction Details net total per document = 56,057.99 EUR; payment summary gross total = 67,227.03 EUR. Calc cells recompute from the 94 extracted lines. VAT recomputed as net x rate may differ by a few cents due to line-level rounding by Q8.</t>
  </si>
  <si>
    <t xml:space="preserve">Check item</t>
  </si>
  <si>
    <t xml:space="preserve">Document states</t>
  </si>
  <si>
    <t xml:space="preserve">Calculated</t>
  </si>
  <si>
    <t xml:space="preserve">Total litres (payment summary)</t>
  </si>
  <si>
    <t xml:space="preserve">Total net EUR (Transaction Details)</t>
  </si>
  <si>
    <t xml:space="preserve">Sum of card totals EUR</t>
  </si>
  <si>
    <t xml:space="preserve">Total gross EUR (payment summary)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</si>
</sst>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9"/>
    <col collapsed="false" customWidth="true" hidden="false" outlineLevel="0" max="16" min="16" style="0" width="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n">
        <v>21</v>
      </c>
      <c r="H2" s="2" t="s">
        <v>22</v>
      </c>
      <c r="I2" s="3" t="n">
        <v>1.7488</v>
      </c>
      <c r="J2" s="3" t="n">
        <v>1</v>
      </c>
      <c r="K2" s="3" t="n">
        <v>1.7488</v>
      </c>
      <c r="L2" s="4" t="n">
        <v>400.42</v>
      </c>
      <c r="M2" s="4" t="n">
        <v>700.25</v>
      </c>
      <c r="N2" s="4" t="n">
        <f aca="false">ROUND(K2*L2,2)</f>
        <v>700.25</v>
      </c>
      <c r="O2" s="4" t="n">
        <f aca="false">N2-M2</f>
        <v>0</v>
      </c>
      <c r="P2" s="2" t="str">
        <f aca="false">IF(ABS(O2)&lt;=0.01,"OK","CHECK")</f>
        <v>OK</v>
      </c>
    </row>
    <row r="3" customFormat="false" ht="15" hidden="false" customHeight="false" outlineLevel="0" collapsed="false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21</v>
      </c>
      <c r="G3" s="2" t="n">
        <v>21</v>
      </c>
      <c r="H3" s="2" t="s">
        <v>22</v>
      </c>
      <c r="I3" s="3" t="n">
        <v>1.8116</v>
      </c>
      <c r="J3" s="3" t="n">
        <v>1</v>
      </c>
      <c r="K3" s="3" t="n">
        <v>1.8116</v>
      </c>
      <c r="L3" s="4" t="n">
        <v>430</v>
      </c>
      <c r="M3" s="4" t="n">
        <v>778.99</v>
      </c>
      <c r="N3" s="4" t="n">
        <f aca="false">ROUND(K3*L3,2)</f>
        <v>778.99</v>
      </c>
      <c r="O3" s="4" t="n">
        <f aca="false">N3-M3</f>
        <v>0</v>
      </c>
      <c r="P3" s="2" t="str">
        <f aca="false">IF(ABS(O3)&lt;=0.01,"OK","CHECK")</f>
        <v>OK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20</v>
      </c>
      <c r="H4" s="2" t="s">
        <v>22</v>
      </c>
      <c r="I4" s="3" t="n">
        <v>1.7922</v>
      </c>
      <c r="J4" s="3" t="n">
        <v>1</v>
      </c>
      <c r="K4" s="3" t="n">
        <v>1.7922</v>
      </c>
      <c r="L4" s="4" t="n">
        <v>200</v>
      </c>
      <c r="M4" s="4" t="n">
        <v>358.44</v>
      </c>
      <c r="N4" s="4" t="n">
        <f aca="false">ROUND(K4*L4,2)</f>
        <v>358.44</v>
      </c>
      <c r="O4" s="4" t="n">
        <f aca="false">N4-M4</f>
        <v>0</v>
      </c>
      <c r="P4" s="2" t="str">
        <f aca="false">IF(ABS(O4)&lt;=0.01,"OK","CHECK")</f>
        <v>OK</v>
      </c>
    </row>
    <row r="5" customFormat="false" ht="15" hidden="false" customHeight="false" outlineLevel="0" collapsed="false">
      <c r="A5" s="2" t="s">
        <v>31</v>
      </c>
      <c r="B5" s="2" t="s">
        <v>17</v>
      </c>
      <c r="C5" s="2" t="s">
        <v>32</v>
      </c>
      <c r="D5" s="2" t="s">
        <v>33</v>
      </c>
      <c r="E5" s="2" t="s">
        <v>34</v>
      </c>
      <c r="F5" s="2" t="s">
        <v>35</v>
      </c>
      <c r="G5" s="2" t="n">
        <v>21</v>
      </c>
      <c r="H5" s="2" t="s">
        <v>22</v>
      </c>
      <c r="I5" s="3" t="n">
        <v>0.9876</v>
      </c>
      <c r="J5" s="3" t="n">
        <v>1</v>
      </c>
      <c r="K5" s="3" t="n">
        <v>0.9876</v>
      </c>
      <c r="L5" s="4" t="n">
        <v>45.85</v>
      </c>
      <c r="M5" s="4" t="n">
        <v>45.28</v>
      </c>
      <c r="N5" s="4" t="n">
        <f aca="false">ROUND(K5*L5,2)</f>
        <v>45.28</v>
      </c>
      <c r="O5" s="4" t="n">
        <f aca="false">N5-M5</f>
        <v>0</v>
      </c>
      <c r="P5" s="2" t="str">
        <f aca="false">IF(ABS(O5)&lt;=0.01,"OK","CHECK")</f>
        <v>OK</v>
      </c>
    </row>
    <row r="6" customFormat="false" ht="15" hidden="false" customHeight="false" outlineLevel="0" collapsed="false">
      <c r="A6" s="2" t="s">
        <v>31</v>
      </c>
      <c r="B6" s="2" t="s">
        <v>36</v>
      </c>
      <c r="C6" s="2" t="s">
        <v>37</v>
      </c>
      <c r="D6" s="2" t="s">
        <v>33</v>
      </c>
      <c r="E6" s="2" t="s">
        <v>34</v>
      </c>
      <c r="F6" s="2" t="s">
        <v>35</v>
      </c>
      <c r="G6" s="2" t="n">
        <v>21</v>
      </c>
      <c r="H6" s="2" t="s">
        <v>22</v>
      </c>
      <c r="I6" s="3" t="n">
        <v>0.9876</v>
      </c>
      <c r="J6" s="3" t="n">
        <v>1</v>
      </c>
      <c r="K6" s="3" t="n">
        <v>0.9876</v>
      </c>
      <c r="L6" s="4" t="n">
        <v>41.57</v>
      </c>
      <c r="M6" s="4" t="n">
        <v>41.05</v>
      </c>
      <c r="N6" s="4" t="n">
        <f aca="false">ROUND(K6*L6,2)</f>
        <v>41.05</v>
      </c>
      <c r="O6" s="4" t="n">
        <f aca="false">N6-M6</f>
        <v>0</v>
      </c>
      <c r="P6" s="2" t="str">
        <f aca="false">IF(ABS(O6)&lt;=0.01,"OK","CHECK")</f>
        <v>OK</v>
      </c>
    </row>
    <row r="7" customFormat="false" ht="15" hidden="false" customHeight="false" outlineLevel="0" collapsed="false">
      <c r="A7" s="2" t="s">
        <v>31</v>
      </c>
      <c r="B7" s="2" t="s">
        <v>17</v>
      </c>
      <c r="C7" s="2" t="s">
        <v>38</v>
      </c>
      <c r="D7" s="2" t="s">
        <v>39</v>
      </c>
      <c r="E7" s="2" t="s">
        <v>34</v>
      </c>
      <c r="F7" s="2" t="s">
        <v>35</v>
      </c>
      <c r="G7" s="2" t="n">
        <v>10</v>
      </c>
      <c r="H7" s="2" t="s">
        <v>22</v>
      </c>
      <c r="I7" s="3" t="n">
        <v>1.5218</v>
      </c>
      <c r="J7" s="3" t="n">
        <v>1</v>
      </c>
      <c r="K7" s="3" t="n">
        <v>1.5218</v>
      </c>
      <c r="L7" s="4" t="n">
        <v>410.81</v>
      </c>
      <c r="M7" s="4" t="n">
        <v>625.17</v>
      </c>
      <c r="N7" s="4" t="n">
        <f aca="false">ROUND(K7*L7,2)</f>
        <v>625.17</v>
      </c>
      <c r="O7" s="4" t="n">
        <f aca="false">N7-M7</f>
        <v>0</v>
      </c>
      <c r="P7" s="2" t="str">
        <f aca="false">IF(ABS(O7)&lt;=0.01,"OK","CHECK")</f>
        <v>OK</v>
      </c>
    </row>
    <row r="8" customFormat="false" ht="15" hidden="false" customHeight="false" outlineLevel="0" collapsed="false">
      <c r="A8" s="2" t="s">
        <v>31</v>
      </c>
      <c r="B8" s="2" t="s">
        <v>36</v>
      </c>
      <c r="C8" s="2" t="s">
        <v>40</v>
      </c>
      <c r="D8" s="2" t="s">
        <v>39</v>
      </c>
      <c r="E8" s="2" t="s">
        <v>34</v>
      </c>
      <c r="F8" s="2" t="s">
        <v>35</v>
      </c>
      <c r="G8" s="2" t="n">
        <v>10</v>
      </c>
      <c r="H8" s="2" t="s">
        <v>22</v>
      </c>
      <c r="I8" s="3" t="n">
        <v>1.5409</v>
      </c>
      <c r="J8" s="3" t="n">
        <v>1</v>
      </c>
      <c r="K8" s="3" t="n">
        <v>1.5409</v>
      </c>
      <c r="L8" s="4" t="n">
        <v>369.4</v>
      </c>
      <c r="M8" s="4" t="n">
        <v>569.21</v>
      </c>
      <c r="N8" s="4" t="n">
        <f aca="false">ROUND(K8*L8,2)</f>
        <v>569.21</v>
      </c>
      <c r="O8" s="4" t="n">
        <f aca="false">N8-M8</f>
        <v>0</v>
      </c>
      <c r="P8" s="2" t="str">
        <f aca="false">IF(ABS(O8)&lt;=0.01,"OK","CHECK")</f>
        <v>OK</v>
      </c>
    </row>
    <row r="9" customFormat="false" ht="15" hidden="false" customHeight="false" outlineLevel="0" collapsed="false">
      <c r="A9" s="2" t="s">
        <v>31</v>
      </c>
      <c r="B9" s="2" t="s">
        <v>41</v>
      </c>
      <c r="C9" s="2" t="s">
        <v>42</v>
      </c>
      <c r="D9" s="2" t="s">
        <v>19</v>
      </c>
      <c r="E9" s="2" t="s">
        <v>20</v>
      </c>
      <c r="F9" s="2" t="s">
        <v>21</v>
      </c>
      <c r="G9" s="2" t="n">
        <v>21</v>
      </c>
      <c r="H9" s="2" t="s">
        <v>22</v>
      </c>
      <c r="I9" s="3" t="n">
        <v>1.7694</v>
      </c>
      <c r="J9" s="3" t="n">
        <v>1</v>
      </c>
      <c r="K9" s="3" t="n">
        <v>1.7694</v>
      </c>
      <c r="L9" s="4" t="n">
        <v>627.36</v>
      </c>
      <c r="M9" s="4" t="n">
        <v>1110.05</v>
      </c>
      <c r="N9" s="4" t="n">
        <f aca="false">ROUND(K9*L9,2)</f>
        <v>1110.05</v>
      </c>
      <c r="O9" s="4" t="n">
        <f aca="false">N9-M9</f>
        <v>0</v>
      </c>
      <c r="P9" s="2" t="str">
        <f aca="false">IF(ABS(O9)&lt;=0.01,"OK","CHECK")</f>
        <v>OK</v>
      </c>
    </row>
    <row r="10" customFormat="false" ht="15" hidden="false" customHeight="false" outlineLevel="0" collapsed="false">
      <c r="A10" s="2" t="s">
        <v>31</v>
      </c>
      <c r="B10" s="2" t="s">
        <v>43</v>
      </c>
      <c r="C10" s="2" t="s">
        <v>44</v>
      </c>
      <c r="D10" s="2" t="s">
        <v>19</v>
      </c>
      <c r="E10" s="2" t="s">
        <v>20</v>
      </c>
      <c r="F10" s="2" t="s">
        <v>21</v>
      </c>
      <c r="G10" s="2" t="n">
        <v>21</v>
      </c>
      <c r="H10" s="2" t="s">
        <v>22</v>
      </c>
      <c r="I10" s="3" t="n">
        <v>1.7694</v>
      </c>
      <c r="J10" s="3" t="n">
        <v>1</v>
      </c>
      <c r="K10" s="3" t="n">
        <v>1.7694</v>
      </c>
      <c r="L10" s="4" t="n">
        <v>470.06</v>
      </c>
      <c r="M10" s="4" t="n">
        <v>831.72</v>
      </c>
      <c r="N10" s="4" t="n">
        <f aca="false">ROUND(K10*L10,2)</f>
        <v>831.72</v>
      </c>
      <c r="O10" s="4" t="n">
        <f aca="false">N10-M10</f>
        <v>0</v>
      </c>
      <c r="P10" s="2" t="str">
        <f aca="false">IF(ABS(O10)&lt;=0.01,"OK","CHECK")</f>
        <v>OK</v>
      </c>
    </row>
    <row r="11" customFormat="false" ht="15" hidden="false" customHeight="false" outlineLevel="0" collapsed="false">
      <c r="A11" s="2" t="s">
        <v>45</v>
      </c>
      <c r="B11" s="2" t="s">
        <v>23</v>
      </c>
      <c r="C11" s="2" t="s">
        <v>46</v>
      </c>
      <c r="D11" s="2" t="s">
        <v>19</v>
      </c>
      <c r="E11" s="2" t="s">
        <v>47</v>
      </c>
      <c r="F11" s="2" t="s">
        <v>21</v>
      </c>
      <c r="G11" s="2" t="n">
        <v>21</v>
      </c>
      <c r="H11" s="2" t="s">
        <v>22</v>
      </c>
      <c r="I11" s="3" t="n">
        <v>1.8116</v>
      </c>
      <c r="J11" s="3" t="n">
        <v>1</v>
      </c>
      <c r="K11" s="3" t="n">
        <v>1.8116</v>
      </c>
      <c r="L11" s="4" t="n">
        <v>830.04</v>
      </c>
      <c r="M11" s="4" t="n">
        <v>1503.7</v>
      </c>
      <c r="N11" s="4" t="n">
        <f aca="false">ROUND(K11*L11,2)</f>
        <v>1503.7</v>
      </c>
      <c r="O11" s="4" t="n">
        <f aca="false">N11-M11</f>
        <v>0</v>
      </c>
      <c r="P11" s="2" t="str">
        <f aca="false">IF(ABS(O11)&lt;=0.01,"OK","CHECK")</f>
        <v>OK</v>
      </c>
    </row>
    <row r="12" customFormat="false" ht="15" hidden="false" customHeight="false" outlineLevel="0" collapsed="false">
      <c r="A12" s="2" t="s">
        <v>45</v>
      </c>
      <c r="B12" s="2" t="s">
        <v>43</v>
      </c>
      <c r="C12" s="2" t="s">
        <v>48</v>
      </c>
      <c r="D12" s="2" t="s">
        <v>19</v>
      </c>
      <c r="E12" s="2" t="s">
        <v>47</v>
      </c>
      <c r="F12" s="2" t="s">
        <v>21</v>
      </c>
      <c r="G12" s="2" t="n">
        <v>21</v>
      </c>
      <c r="H12" s="2" t="s">
        <v>22</v>
      </c>
      <c r="I12" s="3" t="n">
        <v>1.7694</v>
      </c>
      <c r="J12" s="3" t="n">
        <v>1</v>
      </c>
      <c r="K12" s="3" t="n">
        <v>1.7694</v>
      </c>
      <c r="L12" s="4" t="n">
        <v>510</v>
      </c>
      <c r="M12" s="4" t="n">
        <v>902.39</v>
      </c>
      <c r="N12" s="4" t="n">
        <f aca="false">ROUND(K12*L12,2)</f>
        <v>902.39</v>
      </c>
      <c r="O12" s="4" t="n">
        <f aca="false">N12-M12</f>
        <v>0</v>
      </c>
      <c r="P12" s="2" t="str">
        <f aca="false">IF(ABS(O12)&lt;=0.01,"OK","CHECK")</f>
        <v>OK</v>
      </c>
    </row>
    <row r="13" customFormat="false" ht="15" hidden="false" customHeight="false" outlineLevel="0" collapsed="false">
      <c r="A13" s="2" t="s">
        <v>49</v>
      </c>
      <c r="B13" s="2" t="s">
        <v>23</v>
      </c>
      <c r="C13" s="2" t="s">
        <v>50</v>
      </c>
      <c r="D13" s="2" t="s">
        <v>19</v>
      </c>
      <c r="E13" s="2" t="s">
        <v>20</v>
      </c>
      <c r="F13" s="2" t="s">
        <v>21</v>
      </c>
      <c r="G13" s="2" t="n">
        <v>21</v>
      </c>
      <c r="H13" s="2" t="s">
        <v>22</v>
      </c>
      <c r="I13" s="3" t="n">
        <v>1.8116</v>
      </c>
      <c r="J13" s="3" t="n">
        <v>1</v>
      </c>
      <c r="K13" s="3" t="n">
        <v>1.8116</v>
      </c>
      <c r="L13" s="4" t="n">
        <v>340</v>
      </c>
      <c r="M13" s="4" t="n">
        <v>615.94</v>
      </c>
      <c r="N13" s="4" t="n">
        <f aca="false">ROUND(K13*L13,2)</f>
        <v>615.94</v>
      </c>
      <c r="O13" s="4" t="n">
        <f aca="false">N13-M13</f>
        <v>0</v>
      </c>
      <c r="P13" s="2" t="str">
        <f aca="false">IF(ABS(O13)&lt;=0.01,"OK","CHECK")</f>
        <v>OK</v>
      </c>
    </row>
    <row r="14" customFormat="false" ht="15" hidden="false" customHeight="false" outlineLevel="0" collapsed="false">
      <c r="A14" s="2" t="s">
        <v>51</v>
      </c>
      <c r="B14" s="2" t="s">
        <v>23</v>
      </c>
      <c r="C14" s="2" t="s">
        <v>52</v>
      </c>
      <c r="D14" s="2" t="s">
        <v>19</v>
      </c>
      <c r="E14" s="2" t="s">
        <v>20</v>
      </c>
      <c r="F14" s="2" t="s">
        <v>21</v>
      </c>
      <c r="G14" s="2" t="n">
        <v>21</v>
      </c>
      <c r="H14" s="2" t="s">
        <v>22</v>
      </c>
      <c r="I14" s="3" t="n">
        <v>1.8116</v>
      </c>
      <c r="J14" s="3" t="n">
        <v>1</v>
      </c>
      <c r="K14" s="3" t="n">
        <v>1.8116</v>
      </c>
      <c r="L14" s="4" t="n">
        <v>800.16</v>
      </c>
      <c r="M14" s="4" t="n">
        <v>1449.57</v>
      </c>
      <c r="N14" s="4" t="n">
        <f aca="false">ROUND(K14*L14,2)</f>
        <v>1449.57</v>
      </c>
      <c r="O14" s="4" t="n">
        <f aca="false">N14-M14</f>
        <v>0</v>
      </c>
      <c r="P14" s="2" t="str">
        <f aca="false">IF(ABS(O14)&lt;=0.01,"OK","CHECK")</f>
        <v>OK</v>
      </c>
    </row>
    <row r="15" customFormat="false" ht="15" hidden="false" customHeight="false" outlineLevel="0" collapsed="false">
      <c r="A15" s="2" t="s">
        <v>51</v>
      </c>
      <c r="B15" s="2" t="s">
        <v>53</v>
      </c>
      <c r="C15" s="2" t="s">
        <v>54</v>
      </c>
      <c r="D15" s="2" t="s">
        <v>39</v>
      </c>
      <c r="E15" s="2" t="s">
        <v>34</v>
      </c>
      <c r="F15" s="2" t="s">
        <v>35</v>
      </c>
      <c r="G15" s="2" t="n">
        <v>10</v>
      </c>
      <c r="H15" s="2" t="s">
        <v>22</v>
      </c>
      <c r="I15" s="3" t="n">
        <v>1.5145</v>
      </c>
      <c r="J15" s="3" t="n">
        <v>1</v>
      </c>
      <c r="K15" s="3" t="n">
        <v>1.5145</v>
      </c>
      <c r="L15" s="4" t="n">
        <v>658.36</v>
      </c>
      <c r="M15" s="4" t="n">
        <v>997.09</v>
      </c>
      <c r="N15" s="4" t="n">
        <f aca="false">ROUND(K15*L15,2)</f>
        <v>997.09</v>
      </c>
      <c r="O15" s="4" t="n">
        <f aca="false">N15-M15</f>
        <v>0</v>
      </c>
      <c r="P15" s="2" t="str">
        <f aca="false">IF(ABS(O15)&lt;=0.01,"OK","CHECK")</f>
        <v>OK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2" t="s">
        <v>57</v>
      </c>
      <c r="D16" s="2" t="s">
        <v>33</v>
      </c>
      <c r="E16" s="2" t="s">
        <v>34</v>
      </c>
      <c r="F16" s="2" t="s">
        <v>35</v>
      </c>
      <c r="G16" s="2" t="n">
        <v>21</v>
      </c>
      <c r="H16" s="2" t="s">
        <v>22</v>
      </c>
      <c r="I16" s="3" t="n">
        <v>0.9876</v>
      </c>
      <c r="J16" s="3" t="n">
        <v>1</v>
      </c>
      <c r="K16" s="3" t="n">
        <v>0.9876</v>
      </c>
      <c r="L16" s="4" t="n">
        <v>69.83</v>
      </c>
      <c r="M16" s="4" t="n">
        <v>68.96</v>
      </c>
      <c r="N16" s="4" t="n">
        <f aca="false">ROUND(K16*L16,2)</f>
        <v>68.96</v>
      </c>
      <c r="O16" s="4" t="n">
        <f aca="false">N16-M16</f>
        <v>0</v>
      </c>
      <c r="P16" s="2" t="str">
        <f aca="false">IF(ABS(O16)&lt;=0.01,"OK","CHECK")</f>
        <v>OK</v>
      </c>
    </row>
    <row r="17" customFormat="false" ht="15" hidden="false" customHeight="false" outlineLevel="0" collapsed="false">
      <c r="A17" s="2" t="s">
        <v>55</v>
      </c>
      <c r="B17" s="2" t="s">
        <v>58</v>
      </c>
      <c r="C17" s="2" t="s">
        <v>59</v>
      </c>
      <c r="D17" s="2" t="s">
        <v>39</v>
      </c>
      <c r="E17" s="2" t="s">
        <v>34</v>
      </c>
      <c r="F17" s="2" t="s">
        <v>35</v>
      </c>
      <c r="G17" s="2" t="n">
        <v>10</v>
      </c>
      <c r="H17" s="2" t="s">
        <v>22</v>
      </c>
      <c r="I17" s="3" t="n">
        <v>1.5145</v>
      </c>
      <c r="J17" s="3" t="n">
        <v>1</v>
      </c>
      <c r="K17" s="3" t="n">
        <v>1.5145</v>
      </c>
      <c r="L17" s="4" t="n">
        <v>478.37</v>
      </c>
      <c r="M17" s="4" t="n">
        <v>724.49</v>
      </c>
      <c r="N17" s="4" t="n">
        <f aca="false">ROUND(K17*L17,2)</f>
        <v>724.49</v>
      </c>
      <c r="O17" s="4" t="n">
        <f aca="false">N17-M17</f>
        <v>0</v>
      </c>
      <c r="P17" s="2" t="str">
        <f aca="false">IF(ABS(O17)&lt;=0.01,"OK","CHECK")</f>
        <v>OK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60</v>
      </c>
      <c r="D18" s="2" t="s">
        <v>39</v>
      </c>
      <c r="E18" s="2" t="s">
        <v>34</v>
      </c>
      <c r="F18" s="2" t="s">
        <v>35</v>
      </c>
      <c r="G18" s="2" t="n">
        <v>10</v>
      </c>
      <c r="H18" s="2" t="s">
        <v>22</v>
      </c>
      <c r="I18" s="3" t="n">
        <v>1.5145</v>
      </c>
      <c r="J18" s="3" t="n">
        <v>1</v>
      </c>
      <c r="K18" s="3" t="n">
        <v>1.5145</v>
      </c>
      <c r="L18" s="4" t="n">
        <v>676.48</v>
      </c>
      <c r="M18" s="4" t="n">
        <v>1024.53</v>
      </c>
      <c r="N18" s="4" t="n">
        <f aca="false">ROUND(K18*L18,2)</f>
        <v>1024.53</v>
      </c>
      <c r="O18" s="4" t="n">
        <f aca="false">N18-M18</f>
        <v>0</v>
      </c>
      <c r="P18" s="2" t="str">
        <f aca="false">IF(ABS(O18)&lt;=0.01,"OK","CHECK")</f>
        <v>OK</v>
      </c>
    </row>
    <row r="19" customFormat="false" ht="15" hidden="false" customHeight="false" outlineLevel="0" collapsed="false">
      <c r="A19" s="2" t="s">
        <v>55</v>
      </c>
      <c r="B19" s="2" t="s">
        <v>26</v>
      </c>
      <c r="C19" s="2" t="s">
        <v>61</v>
      </c>
      <c r="D19" s="2" t="s">
        <v>19</v>
      </c>
      <c r="E19" s="2" t="s">
        <v>62</v>
      </c>
      <c r="F19" s="2" t="s">
        <v>21</v>
      </c>
      <c r="G19" s="2" t="n">
        <v>21</v>
      </c>
      <c r="H19" s="2" t="s">
        <v>22</v>
      </c>
      <c r="I19" s="3" t="n">
        <v>1.6843</v>
      </c>
      <c r="J19" s="3" t="n">
        <v>1</v>
      </c>
      <c r="K19" s="3" t="n">
        <v>1.6843</v>
      </c>
      <c r="L19" s="4" t="n">
        <v>222.63</v>
      </c>
      <c r="M19" s="4" t="n">
        <v>374.98</v>
      </c>
      <c r="N19" s="4" t="n">
        <f aca="false">ROUND(K19*L19,2)</f>
        <v>374.98</v>
      </c>
      <c r="O19" s="4" t="n">
        <f aca="false">N19-M19</f>
        <v>0</v>
      </c>
      <c r="P19" s="2" t="str">
        <f aca="false">IF(ABS(O19)&lt;=0.01,"OK","CHECK")</f>
        <v>OK</v>
      </c>
    </row>
    <row r="20" customFormat="false" ht="15" hidden="false" customHeight="false" outlineLevel="0" collapsed="false">
      <c r="A20" s="2" t="s">
        <v>63</v>
      </c>
      <c r="B20" s="2" t="s">
        <v>23</v>
      </c>
      <c r="C20" s="2" t="s">
        <v>64</v>
      </c>
      <c r="D20" s="2" t="s">
        <v>33</v>
      </c>
      <c r="E20" s="2" t="s">
        <v>20</v>
      </c>
      <c r="F20" s="2" t="s">
        <v>21</v>
      </c>
      <c r="G20" s="2" t="n">
        <v>21</v>
      </c>
      <c r="H20" s="2" t="s">
        <v>22</v>
      </c>
      <c r="I20" s="3" t="n">
        <v>1.312</v>
      </c>
      <c r="J20" s="3" t="n">
        <v>1</v>
      </c>
      <c r="K20" s="3" t="n">
        <v>1.312</v>
      </c>
      <c r="L20" s="4" t="n">
        <v>50.56</v>
      </c>
      <c r="M20" s="4" t="n">
        <v>66.33</v>
      </c>
      <c r="N20" s="4" t="n">
        <f aca="false">ROUND(K20*L20,2)</f>
        <v>66.33</v>
      </c>
      <c r="O20" s="4" t="n">
        <f aca="false">N20-M20</f>
        <v>0</v>
      </c>
      <c r="P20" s="2" t="str">
        <f aca="false">IF(ABS(O20)&lt;=0.01,"OK","CHECK")</f>
        <v>OK</v>
      </c>
    </row>
    <row r="21" customFormat="false" ht="15" hidden="false" customHeight="false" outlineLevel="0" collapsed="false">
      <c r="A21" s="2" t="s">
        <v>63</v>
      </c>
      <c r="B21" s="2" t="s">
        <v>23</v>
      </c>
      <c r="C21" s="2" t="s">
        <v>65</v>
      </c>
      <c r="D21" s="2" t="s">
        <v>19</v>
      </c>
      <c r="E21" s="2" t="s">
        <v>20</v>
      </c>
      <c r="F21" s="2" t="s">
        <v>21</v>
      </c>
      <c r="G21" s="2" t="n">
        <v>21</v>
      </c>
      <c r="H21" s="2" t="s">
        <v>22</v>
      </c>
      <c r="I21" s="3" t="n">
        <v>1.8116</v>
      </c>
      <c r="J21" s="3" t="n">
        <v>1</v>
      </c>
      <c r="K21" s="3" t="n">
        <v>1.8116</v>
      </c>
      <c r="L21" s="4" t="n">
        <v>443.5</v>
      </c>
      <c r="M21" s="4" t="n">
        <v>803.44</v>
      </c>
      <c r="N21" s="4" t="n">
        <f aca="false">ROUND(K21*L21,2)</f>
        <v>803.44</v>
      </c>
      <c r="O21" s="4" t="n">
        <f aca="false">N21-M21</f>
        <v>0</v>
      </c>
      <c r="P21" s="2" t="str">
        <f aca="false">IF(ABS(O21)&lt;=0.01,"OK","CHECK")</f>
        <v>OK</v>
      </c>
    </row>
    <row r="22" customFormat="false" ht="15" hidden="false" customHeight="false" outlineLevel="0" collapsed="false">
      <c r="A22" s="2" t="s">
        <v>63</v>
      </c>
      <c r="B22" s="2" t="s">
        <v>66</v>
      </c>
      <c r="C22" s="2" t="s">
        <v>67</v>
      </c>
      <c r="D22" s="2" t="s">
        <v>39</v>
      </c>
      <c r="E22" s="2" t="s">
        <v>34</v>
      </c>
      <c r="F22" s="2" t="s">
        <v>35</v>
      </c>
      <c r="G22" s="2" t="n">
        <v>10</v>
      </c>
      <c r="H22" s="2" t="s">
        <v>22</v>
      </c>
      <c r="I22" s="3" t="n">
        <v>1.5409</v>
      </c>
      <c r="J22" s="3" t="n">
        <v>1</v>
      </c>
      <c r="K22" s="3" t="n">
        <v>1.5409</v>
      </c>
      <c r="L22" s="4" t="n">
        <v>345.48</v>
      </c>
      <c r="M22" s="4" t="n">
        <v>532.35</v>
      </c>
      <c r="N22" s="4" t="n">
        <f aca="false">ROUND(K22*L22,2)</f>
        <v>532.35</v>
      </c>
      <c r="O22" s="4" t="n">
        <f aca="false">N22-M22</f>
        <v>0</v>
      </c>
      <c r="P22" s="2" t="str">
        <f aca="false">IF(ABS(O22)&lt;=0.01,"OK","CHECK")</f>
        <v>OK</v>
      </c>
    </row>
    <row r="23" customFormat="false" ht="15" hidden="false" customHeight="false" outlineLevel="0" collapsed="false">
      <c r="A23" s="2" t="s">
        <v>63</v>
      </c>
      <c r="B23" s="2" t="s">
        <v>41</v>
      </c>
      <c r="C23" s="2" t="s">
        <v>68</v>
      </c>
      <c r="D23" s="2" t="s">
        <v>39</v>
      </c>
      <c r="E23" s="2" t="s">
        <v>34</v>
      </c>
      <c r="F23" s="2" t="s">
        <v>35</v>
      </c>
      <c r="G23" s="2" t="n">
        <v>10</v>
      </c>
      <c r="H23" s="2" t="s">
        <v>22</v>
      </c>
      <c r="I23" s="3" t="n">
        <v>1.5145</v>
      </c>
      <c r="J23" s="3" t="n">
        <v>1</v>
      </c>
      <c r="K23" s="3" t="n">
        <v>1.5145</v>
      </c>
      <c r="L23" s="4" t="n">
        <v>198.66</v>
      </c>
      <c r="M23" s="4" t="n">
        <v>300.87</v>
      </c>
      <c r="N23" s="4" t="n">
        <f aca="false">ROUND(K23*L23,2)</f>
        <v>300.87</v>
      </c>
      <c r="O23" s="4" t="n">
        <f aca="false">N23-M23</f>
        <v>0</v>
      </c>
      <c r="P23" s="2" t="str">
        <f aca="false">IF(ABS(O23)&lt;=0.01,"OK","CHECK")</f>
        <v>OK</v>
      </c>
    </row>
    <row r="24" customFormat="false" ht="15" hidden="false" customHeight="false" outlineLevel="0" collapsed="false">
      <c r="A24" s="2" t="s">
        <v>63</v>
      </c>
      <c r="B24" s="2" t="s">
        <v>43</v>
      </c>
      <c r="C24" s="2" t="s">
        <v>69</v>
      </c>
      <c r="D24" s="2" t="s">
        <v>19</v>
      </c>
      <c r="E24" s="2" t="s">
        <v>20</v>
      </c>
      <c r="F24" s="2" t="s">
        <v>21</v>
      </c>
      <c r="G24" s="2" t="n">
        <v>21</v>
      </c>
      <c r="H24" s="2" t="s">
        <v>22</v>
      </c>
      <c r="I24" s="3" t="n">
        <v>1.7694</v>
      </c>
      <c r="J24" s="3" t="n">
        <v>1</v>
      </c>
      <c r="K24" s="3" t="n">
        <v>1.7694</v>
      </c>
      <c r="L24" s="4" t="n">
        <v>309.8</v>
      </c>
      <c r="M24" s="4" t="n">
        <v>548.16</v>
      </c>
      <c r="N24" s="4" t="n">
        <f aca="false">ROUND(K24*L24,2)</f>
        <v>548.16</v>
      </c>
      <c r="O24" s="4" t="n">
        <f aca="false">N24-M24</f>
        <v>0</v>
      </c>
      <c r="P24" s="2" t="str">
        <f aca="false">IF(ABS(O24)&lt;=0.01,"OK","CHECK")</f>
        <v>OK</v>
      </c>
    </row>
    <row r="25" customFormat="false" ht="15" hidden="false" customHeight="false" outlineLevel="0" collapsed="false">
      <c r="A25" s="2" t="s">
        <v>70</v>
      </c>
      <c r="B25" s="2" t="s">
        <v>71</v>
      </c>
      <c r="C25" s="2" t="s">
        <v>72</v>
      </c>
      <c r="D25" s="2" t="s">
        <v>33</v>
      </c>
      <c r="E25" s="2" t="s">
        <v>20</v>
      </c>
      <c r="F25" s="2" t="s">
        <v>21</v>
      </c>
      <c r="G25" s="2" t="n">
        <v>21</v>
      </c>
      <c r="H25" s="2" t="s">
        <v>22</v>
      </c>
      <c r="I25" s="3" t="n">
        <v>1.312</v>
      </c>
      <c r="J25" s="3" t="n">
        <v>1</v>
      </c>
      <c r="K25" s="3" t="n">
        <v>1.312</v>
      </c>
      <c r="L25" s="4" t="n">
        <v>20.09</v>
      </c>
      <c r="M25" s="4" t="n">
        <v>26.36</v>
      </c>
      <c r="N25" s="4" t="n">
        <f aca="false">ROUND(K25*L25,2)</f>
        <v>26.36</v>
      </c>
      <c r="O25" s="4" t="n">
        <f aca="false">N25-M25</f>
        <v>0</v>
      </c>
      <c r="P25" s="2" t="str">
        <f aca="false">IF(ABS(O25)&lt;=0.01,"OK","CHECK")</f>
        <v>OK</v>
      </c>
    </row>
    <row r="26" customFormat="false" ht="15" hidden="false" customHeight="false" outlineLevel="0" collapsed="false">
      <c r="A26" s="2" t="s">
        <v>70</v>
      </c>
      <c r="B26" s="2" t="s">
        <v>71</v>
      </c>
      <c r="C26" s="2" t="s">
        <v>73</v>
      </c>
      <c r="D26" s="2" t="s">
        <v>19</v>
      </c>
      <c r="E26" s="2" t="s">
        <v>20</v>
      </c>
      <c r="F26" s="2" t="s">
        <v>21</v>
      </c>
      <c r="G26" s="2" t="n">
        <v>21</v>
      </c>
      <c r="H26" s="2" t="s">
        <v>22</v>
      </c>
      <c r="I26" s="3" t="n">
        <v>1.7488</v>
      </c>
      <c r="J26" s="3" t="n">
        <v>1</v>
      </c>
      <c r="K26" s="3" t="n">
        <v>1.7488</v>
      </c>
      <c r="L26" s="4" t="n">
        <v>600.03</v>
      </c>
      <c r="M26" s="4" t="n">
        <v>1049.33</v>
      </c>
      <c r="N26" s="4" t="n">
        <f aca="false">ROUND(K26*L26,2)</f>
        <v>1049.33</v>
      </c>
      <c r="O26" s="4" t="n">
        <f aca="false">N26-M26</f>
        <v>0</v>
      </c>
      <c r="P26" s="2" t="str">
        <f aca="false">IF(ABS(O26)&lt;=0.01,"OK","CHECK")</f>
        <v>OK</v>
      </c>
    </row>
    <row r="27" customFormat="false" ht="15" hidden="false" customHeight="false" outlineLevel="0" collapsed="false">
      <c r="A27" s="2" t="s">
        <v>74</v>
      </c>
      <c r="B27" s="2" t="s">
        <v>75</v>
      </c>
      <c r="C27" s="2" t="s">
        <v>76</v>
      </c>
      <c r="D27" s="2" t="s">
        <v>77</v>
      </c>
      <c r="E27" s="2" t="s">
        <v>78</v>
      </c>
      <c r="F27" s="2" t="s">
        <v>79</v>
      </c>
      <c r="G27" s="2" t="n">
        <v>25</v>
      </c>
      <c r="H27" s="2" t="s">
        <v>80</v>
      </c>
      <c r="I27" s="3" t="n">
        <v>8.14</v>
      </c>
      <c r="J27" s="3" t="n">
        <v>7.4731</v>
      </c>
      <c r="K27" s="3" t="n">
        <v>1.0892</v>
      </c>
      <c r="L27" s="4" t="n">
        <v>76</v>
      </c>
      <c r="M27" s="4" t="n">
        <v>82.78</v>
      </c>
      <c r="N27" s="4" t="n">
        <f aca="false">ROUND(K27*L27,2)</f>
        <v>82.78</v>
      </c>
      <c r="O27" s="4" t="n">
        <f aca="false">N27-M27</f>
        <v>0</v>
      </c>
      <c r="P27" s="2" t="str">
        <f aca="false">IF(ABS(O27)&lt;=0.01,"OK","CHECK")</f>
        <v>OK</v>
      </c>
    </row>
    <row r="28" customFormat="false" ht="15" hidden="false" customHeight="false" outlineLevel="0" collapsed="false">
      <c r="A28" s="2" t="s">
        <v>74</v>
      </c>
      <c r="B28" s="2" t="s">
        <v>75</v>
      </c>
      <c r="C28" s="2" t="s">
        <v>81</v>
      </c>
      <c r="D28" s="2" t="s">
        <v>82</v>
      </c>
      <c r="E28" s="2" t="s">
        <v>78</v>
      </c>
      <c r="F28" s="2" t="s">
        <v>79</v>
      </c>
      <c r="G28" s="2" t="n">
        <v>25</v>
      </c>
      <c r="H28" s="2" t="s">
        <v>80</v>
      </c>
      <c r="I28" s="3" t="n">
        <v>13.7042</v>
      </c>
      <c r="J28" s="3" t="n">
        <v>7.4731</v>
      </c>
      <c r="K28" s="3" t="n">
        <v>1.8338</v>
      </c>
      <c r="L28" s="4" t="n">
        <v>291.2</v>
      </c>
      <c r="M28" s="4" t="n">
        <v>534</v>
      </c>
      <c r="N28" s="4" t="n">
        <f aca="false">ROUND(K28*L28,2)</f>
        <v>534</v>
      </c>
      <c r="O28" s="4" t="n">
        <f aca="false">N28-M28</f>
        <v>0</v>
      </c>
      <c r="P28" s="2" t="str">
        <f aca="false">IF(ABS(O28)&lt;=0.01,"OK","CHECK")</f>
        <v>OK</v>
      </c>
    </row>
    <row r="29" customFormat="false" ht="15" hidden="false" customHeight="false" outlineLevel="0" collapsed="false">
      <c r="A29" s="2" t="s">
        <v>74</v>
      </c>
      <c r="B29" s="2" t="s">
        <v>75</v>
      </c>
      <c r="C29" s="2" t="s">
        <v>83</v>
      </c>
      <c r="D29" s="2" t="s">
        <v>82</v>
      </c>
      <c r="E29" s="2" t="s">
        <v>78</v>
      </c>
      <c r="F29" s="2" t="s">
        <v>79</v>
      </c>
      <c r="G29" s="2" t="n">
        <v>25</v>
      </c>
      <c r="H29" s="2" t="s">
        <v>80</v>
      </c>
      <c r="I29" s="3" t="n">
        <v>13.7042</v>
      </c>
      <c r="J29" s="3" t="n">
        <v>7.4731</v>
      </c>
      <c r="K29" s="3" t="n">
        <v>1.8338</v>
      </c>
      <c r="L29" s="4" t="n">
        <v>475.28</v>
      </c>
      <c r="M29" s="4" t="n">
        <v>871.57</v>
      </c>
      <c r="N29" s="4" t="n">
        <f aca="false">ROUND(K29*L29,2)</f>
        <v>871.57</v>
      </c>
      <c r="O29" s="4" t="n">
        <f aca="false">N29-M29</f>
        <v>0</v>
      </c>
      <c r="P29" s="2" t="str">
        <f aca="false">IF(ABS(O29)&lt;=0.01,"OK","CHECK")</f>
        <v>OK</v>
      </c>
    </row>
    <row r="30" customFormat="false" ht="15" hidden="false" customHeight="false" outlineLevel="0" collapsed="false">
      <c r="A30" s="2" t="s">
        <v>84</v>
      </c>
      <c r="B30" s="2" t="s">
        <v>53</v>
      </c>
      <c r="C30" s="2" t="s">
        <v>85</v>
      </c>
      <c r="D30" s="2" t="s">
        <v>33</v>
      </c>
      <c r="E30" s="2" t="s">
        <v>86</v>
      </c>
      <c r="F30" s="2" t="s">
        <v>21</v>
      </c>
      <c r="G30" s="2" t="n">
        <v>21</v>
      </c>
      <c r="H30" s="2" t="s">
        <v>22</v>
      </c>
      <c r="I30" s="3" t="n">
        <v>1.312</v>
      </c>
      <c r="J30" s="3" t="n">
        <v>1</v>
      </c>
      <c r="K30" s="3" t="n">
        <v>1.312</v>
      </c>
      <c r="L30" s="4" t="n">
        <v>45.14</v>
      </c>
      <c r="M30" s="4" t="n">
        <v>59.22</v>
      </c>
      <c r="N30" s="4" t="n">
        <f aca="false">ROUND(K30*L30,2)</f>
        <v>59.22</v>
      </c>
      <c r="O30" s="4" t="n">
        <f aca="false">N30-M30</f>
        <v>0</v>
      </c>
      <c r="P30" s="2" t="str">
        <f aca="false">IF(ABS(O30)&lt;=0.01,"OK","CHECK")</f>
        <v>OK</v>
      </c>
    </row>
    <row r="31" customFormat="false" ht="15" hidden="false" customHeight="false" outlineLevel="0" collapsed="false">
      <c r="A31" s="2" t="s">
        <v>84</v>
      </c>
      <c r="B31" s="2" t="s">
        <v>26</v>
      </c>
      <c r="C31" s="2" t="s">
        <v>87</v>
      </c>
      <c r="D31" s="2" t="s">
        <v>77</v>
      </c>
      <c r="E31" s="2" t="s">
        <v>88</v>
      </c>
      <c r="F31" s="2" t="s">
        <v>79</v>
      </c>
      <c r="G31" s="2" t="n">
        <v>25</v>
      </c>
      <c r="H31" s="2" t="s">
        <v>80</v>
      </c>
      <c r="I31" s="3" t="n">
        <v>8.14</v>
      </c>
      <c r="J31" s="3" t="n">
        <v>7.4731</v>
      </c>
      <c r="K31" s="3" t="n">
        <v>1.0892</v>
      </c>
      <c r="L31" s="4" t="n">
        <v>36.01</v>
      </c>
      <c r="M31" s="4" t="n">
        <v>39.22</v>
      </c>
      <c r="N31" s="4" t="n">
        <f aca="false">ROUND(K31*L31,2)</f>
        <v>39.22</v>
      </c>
      <c r="O31" s="4" t="n">
        <f aca="false">N31-M31</f>
        <v>0</v>
      </c>
      <c r="P31" s="2" t="str">
        <f aca="false">IF(ABS(O31)&lt;=0.01,"OK","CHECK")</f>
        <v>OK</v>
      </c>
    </row>
    <row r="32" customFormat="false" ht="15" hidden="false" customHeight="false" outlineLevel="0" collapsed="false">
      <c r="A32" s="2" t="s">
        <v>84</v>
      </c>
      <c r="B32" s="2" t="s">
        <v>53</v>
      </c>
      <c r="C32" s="2" t="s">
        <v>89</v>
      </c>
      <c r="D32" s="2" t="s">
        <v>19</v>
      </c>
      <c r="E32" s="2" t="s">
        <v>86</v>
      </c>
      <c r="F32" s="2" t="s">
        <v>21</v>
      </c>
      <c r="G32" s="2" t="n">
        <v>21</v>
      </c>
      <c r="H32" s="2" t="s">
        <v>22</v>
      </c>
      <c r="I32" s="3" t="n">
        <v>1.7694</v>
      </c>
      <c r="J32" s="3" t="n">
        <v>1</v>
      </c>
      <c r="K32" s="3" t="n">
        <v>1.7694</v>
      </c>
      <c r="L32" s="4" t="n">
        <v>396.64</v>
      </c>
      <c r="M32" s="4" t="n">
        <v>701.81</v>
      </c>
      <c r="N32" s="4" t="n">
        <f aca="false">ROUND(K32*L32,2)</f>
        <v>701.81</v>
      </c>
      <c r="O32" s="4" t="n">
        <f aca="false">N32-M32</f>
        <v>0</v>
      </c>
      <c r="P32" s="2" t="str">
        <f aca="false">IF(ABS(O32)&lt;=0.01,"OK","CHECK")</f>
        <v>OK</v>
      </c>
    </row>
    <row r="33" customFormat="false" ht="15" hidden="false" customHeight="false" outlineLevel="0" collapsed="false">
      <c r="A33" s="2" t="s">
        <v>84</v>
      </c>
      <c r="B33" s="2" t="s">
        <v>26</v>
      </c>
      <c r="C33" s="2" t="s">
        <v>90</v>
      </c>
      <c r="D33" s="2" t="s">
        <v>82</v>
      </c>
      <c r="E33" s="2" t="s">
        <v>88</v>
      </c>
      <c r="F33" s="2" t="s">
        <v>79</v>
      </c>
      <c r="G33" s="2" t="n">
        <v>25</v>
      </c>
      <c r="H33" s="2" t="s">
        <v>80</v>
      </c>
      <c r="I33" s="3" t="n">
        <v>13.6242</v>
      </c>
      <c r="J33" s="3" t="n">
        <v>7.4731</v>
      </c>
      <c r="K33" s="3" t="n">
        <v>1.8231</v>
      </c>
      <c r="L33" s="4" t="n">
        <v>460.05</v>
      </c>
      <c r="M33" s="4" t="n">
        <v>838.72</v>
      </c>
      <c r="N33" s="4" t="n">
        <f aca="false">ROUND(K33*L33,2)</f>
        <v>838.72</v>
      </c>
      <c r="O33" s="4" t="n">
        <f aca="false">N33-M33</f>
        <v>0</v>
      </c>
      <c r="P33" s="2" t="str">
        <f aca="false">IF(ABS(O33)&lt;=0.01,"OK","CHECK")</f>
        <v>OK</v>
      </c>
    </row>
    <row r="34" customFormat="false" ht="15" hidden="false" customHeight="false" outlineLevel="0" collapsed="false">
      <c r="A34" s="2" t="s">
        <v>84</v>
      </c>
      <c r="B34" s="2" t="s">
        <v>26</v>
      </c>
      <c r="C34" s="2" t="s">
        <v>91</v>
      </c>
      <c r="D34" s="2" t="s">
        <v>82</v>
      </c>
      <c r="E34" s="2" t="s">
        <v>88</v>
      </c>
      <c r="F34" s="2" t="s">
        <v>79</v>
      </c>
      <c r="G34" s="2" t="n">
        <v>25</v>
      </c>
      <c r="H34" s="2" t="s">
        <v>80</v>
      </c>
      <c r="I34" s="3" t="n">
        <v>13.6242</v>
      </c>
      <c r="J34" s="3" t="n">
        <v>7.4731</v>
      </c>
      <c r="K34" s="3" t="n">
        <v>1.8231</v>
      </c>
      <c r="L34" s="4" t="n">
        <v>394.9</v>
      </c>
      <c r="M34" s="4" t="n">
        <v>719.94</v>
      </c>
      <c r="N34" s="4" t="n">
        <f aca="false">ROUND(K34*L34,2)</f>
        <v>719.94</v>
      </c>
      <c r="O34" s="4" t="n">
        <f aca="false">N34-M34</f>
        <v>0</v>
      </c>
      <c r="P34" s="2" t="str">
        <f aca="false">IF(ABS(O34)&lt;=0.01,"OK","CHECK")</f>
        <v>OK</v>
      </c>
    </row>
    <row r="35" customFormat="false" ht="15" hidden="false" customHeight="false" outlineLevel="0" collapsed="false">
      <c r="A35" s="2" t="s">
        <v>92</v>
      </c>
      <c r="B35" s="2" t="s">
        <v>75</v>
      </c>
      <c r="C35" s="2" t="s">
        <v>93</v>
      </c>
      <c r="D35" s="2" t="s">
        <v>33</v>
      </c>
      <c r="E35" s="2" t="s">
        <v>20</v>
      </c>
      <c r="F35" s="2" t="s">
        <v>21</v>
      </c>
      <c r="G35" s="2" t="n">
        <v>21</v>
      </c>
      <c r="H35" s="2" t="s">
        <v>22</v>
      </c>
      <c r="I35" s="3" t="n">
        <v>1.312</v>
      </c>
      <c r="J35" s="3" t="n">
        <v>1</v>
      </c>
      <c r="K35" s="3" t="n">
        <v>1.312</v>
      </c>
      <c r="L35" s="4" t="n">
        <v>16</v>
      </c>
      <c r="M35" s="4" t="n">
        <v>20.99</v>
      </c>
      <c r="N35" s="4" t="n">
        <f aca="false">ROUND(K35*L35,2)</f>
        <v>20.99</v>
      </c>
      <c r="O35" s="4" t="n">
        <f aca="false">N35-M35</f>
        <v>0</v>
      </c>
      <c r="P35" s="2" t="str">
        <f aca="false">IF(ABS(O35)&lt;=0.01,"OK","CHECK")</f>
        <v>OK</v>
      </c>
    </row>
    <row r="36" customFormat="false" ht="15" hidden="false" customHeight="false" outlineLevel="0" collapsed="false">
      <c r="A36" s="2" t="s">
        <v>92</v>
      </c>
      <c r="B36" s="2" t="s">
        <v>36</v>
      </c>
      <c r="C36" s="2" t="s">
        <v>94</v>
      </c>
      <c r="D36" s="2" t="s">
        <v>39</v>
      </c>
      <c r="E36" s="2" t="s">
        <v>95</v>
      </c>
      <c r="F36" s="2" t="s">
        <v>35</v>
      </c>
      <c r="G36" s="2" t="n">
        <v>10</v>
      </c>
      <c r="H36" s="2" t="s">
        <v>22</v>
      </c>
      <c r="I36" s="3" t="n">
        <v>1.5873</v>
      </c>
      <c r="J36" s="3" t="n">
        <v>1</v>
      </c>
      <c r="K36" s="3" t="n">
        <v>1.5873</v>
      </c>
      <c r="L36" s="4" t="n">
        <v>281.87</v>
      </c>
      <c r="M36" s="4" t="n">
        <v>447.41</v>
      </c>
      <c r="N36" s="4" t="n">
        <f aca="false">ROUND(K36*L36,2)</f>
        <v>447.41</v>
      </c>
      <c r="O36" s="4" t="n">
        <f aca="false">N36-M36</f>
        <v>0</v>
      </c>
      <c r="P36" s="2" t="str">
        <f aca="false">IF(ABS(O36)&lt;=0.01,"OK","CHECK")</f>
        <v>OK</v>
      </c>
    </row>
    <row r="37" customFormat="false" ht="15" hidden="false" customHeight="false" outlineLevel="0" collapsed="false">
      <c r="A37" s="2" t="s">
        <v>92</v>
      </c>
      <c r="B37" s="2" t="s">
        <v>36</v>
      </c>
      <c r="C37" s="2" t="s">
        <v>96</v>
      </c>
      <c r="D37" s="2" t="s">
        <v>39</v>
      </c>
      <c r="E37" s="2" t="s">
        <v>95</v>
      </c>
      <c r="F37" s="2" t="s">
        <v>35</v>
      </c>
      <c r="G37" s="2" t="n">
        <v>10</v>
      </c>
      <c r="H37" s="2" t="s">
        <v>22</v>
      </c>
      <c r="I37" s="3" t="n">
        <v>1.5873</v>
      </c>
      <c r="J37" s="3" t="n">
        <v>1</v>
      </c>
      <c r="K37" s="3" t="n">
        <v>1.5873</v>
      </c>
      <c r="L37" s="4" t="n">
        <v>355.12</v>
      </c>
      <c r="M37" s="4" t="n">
        <v>563.68</v>
      </c>
      <c r="N37" s="4" t="n">
        <f aca="false">ROUND(K37*L37,2)</f>
        <v>563.68</v>
      </c>
      <c r="O37" s="4" t="n">
        <f aca="false">N37-M37</f>
        <v>0</v>
      </c>
      <c r="P37" s="2" t="str">
        <f aca="false">IF(ABS(O37)&lt;=0.01,"OK","CHECK")</f>
        <v>OK</v>
      </c>
    </row>
    <row r="38" customFormat="false" ht="15" hidden="false" customHeight="false" outlineLevel="0" collapsed="false">
      <c r="A38" s="2" t="s">
        <v>92</v>
      </c>
      <c r="B38" s="2" t="s">
        <v>58</v>
      </c>
      <c r="C38" s="2" t="s">
        <v>97</v>
      </c>
      <c r="D38" s="2" t="s">
        <v>19</v>
      </c>
      <c r="E38" s="2" t="s">
        <v>62</v>
      </c>
      <c r="F38" s="2" t="s">
        <v>21</v>
      </c>
      <c r="G38" s="2" t="n">
        <v>21</v>
      </c>
      <c r="H38" s="2" t="s">
        <v>22</v>
      </c>
      <c r="I38" s="3" t="n">
        <v>1.7694</v>
      </c>
      <c r="J38" s="3" t="n">
        <v>1</v>
      </c>
      <c r="K38" s="3" t="n">
        <v>1.7694</v>
      </c>
      <c r="L38" s="4" t="n">
        <v>456</v>
      </c>
      <c r="M38" s="4" t="n">
        <v>806.85</v>
      </c>
      <c r="N38" s="4" t="n">
        <f aca="false">ROUND(K38*L38,2)</f>
        <v>806.85</v>
      </c>
      <c r="O38" s="4" t="n">
        <f aca="false">N38-M38</f>
        <v>0</v>
      </c>
      <c r="P38" s="2" t="str">
        <f aca="false">IF(ABS(O38)&lt;=0.01,"OK","CHECK")</f>
        <v>OK</v>
      </c>
    </row>
    <row r="39" customFormat="false" ht="15" hidden="false" customHeight="false" outlineLevel="0" collapsed="false">
      <c r="A39" s="2" t="s">
        <v>92</v>
      </c>
      <c r="B39" s="2" t="s">
        <v>75</v>
      </c>
      <c r="C39" s="2" t="s">
        <v>98</v>
      </c>
      <c r="D39" s="2" t="s">
        <v>19</v>
      </c>
      <c r="E39" s="2" t="s">
        <v>20</v>
      </c>
      <c r="F39" s="2" t="s">
        <v>21</v>
      </c>
      <c r="G39" s="2" t="n">
        <v>21</v>
      </c>
      <c r="H39" s="2" t="s">
        <v>22</v>
      </c>
      <c r="I39" s="3" t="n">
        <v>1.6843</v>
      </c>
      <c r="J39" s="3" t="n">
        <v>1</v>
      </c>
      <c r="K39" s="3" t="n">
        <v>1.6843</v>
      </c>
      <c r="L39" s="4" t="n">
        <v>471</v>
      </c>
      <c r="M39" s="4" t="n">
        <v>793.31</v>
      </c>
      <c r="N39" s="4" t="n">
        <f aca="false">ROUND(K39*L39,2)</f>
        <v>793.31</v>
      </c>
      <c r="O39" s="4" t="n">
        <f aca="false">N39-M39</f>
        <v>0</v>
      </c>
      <c r="P39" s="2" t="str">
        <f aca="false">IF(ABS(O39)&lt;=0.01,"OK","CHECK")</f>
        <v>OK</v>
      </c>
    </row>
    <row r="40" customFormat="false" ht="15" hidden="false" customHeight="false" outlineLevel="0" collapsed="false">
      <c r="A40" s="2" t="s">
        <v>99</v>
      </c>
      <c r="B40" s="2" t="s">
        <v>43</v>
      </c>
      <c r="C40" s="2" t="s">
        <v>100</v>
      </c>
      <c r="D40" s="2" t="s">
        <v>19</v>
      </c>
      <c r="E40" s="2" t="s">
        <v>20</v>
      </c>
      <c r="F40" s="2" t="s">
        <v>21</v>
      </c>
      <c r="G40" s="2" t="n">
        <v>21</v>
      </c>
      <c r="H40" s="2" t="s">
        <v>22</v>
      </c>
      <c r="I40" s="3" t="n">
        <v>1.7694</v>
      </c>
      <c r="J40" s="3" t="n">
        <v>1</v>
      </c>
      <c r="K40" s="3" t="n">
        <v>1.7694</v>
      </c>
      <c r="L40" s="4" t="n">
        <v>200.17</v>
      </c>
      <c r="M40" s="4" t="n">
        <v>354.18</v>
      </c>
      <c r="N40" s="4" t="n">
        <f aca="false">ROUND(K40*L40,2)</f>
        <v>354.18</v>
      </c>
      <c r="O40" s="4" t="n">
        <f aca="false">N40-M40</f>
        <v>0</v>
      </c>
      <c r="P40" s="2" t="str">
        <f aca="false">IF(ABS(O40)&lt;=0.01,"OK","CHECK")</f>
        <v>OK</v>
      </c>
    </row>
    <row r="41" customFormat="false" ht="15" hidden="false" customHeight="false" outlineLevel="0" collapsed="false">
      <c r="A41" s="2" t="s">
        <v>99</v>
      </c>
      <c r="B41" s="2" t="s">
        <v>26</v>
      </c>
      <c r="C41" s="2" t="s">
        <v>101</v>
      </c>
      <c r="D41" s="2" t="s">
        <v>19</v>
      </c>
      <c r="E41" s="2" t="s">
        <v>20</v>
      </c>
      <c r="F41" s="2" t="s">
        <v>21</v>
      </c>
      <c r="G41" s="2" t="n">
        <v>21</v>
      </c>
      <c r="H41" s="2" t="s">
        <v>22</v>
      </c>
      <c r="I41" s="3" t="n">
        <v>1.6843</v>
      </c>
      <c r="J41" s="3" t="n">
        <v>1</v>
      </c>
      <c r="K41" s="3" t="n">
        <v>1.6843</v>
      </c>
      <c r="L41" s="4" t="n">
        <v>385.18</v>
      </c>
      <c r="M41" s="4" t="n">
        <v>648.76</v>
      </c>
      <c r="N41" s="4" t="n">
        <f aca="false">ROUND(K41*L41,2)</f>
        <v>648.76</v>
      </c>
      <c r="O41" s="4" t="n">
        <f aca="false">N41-M41</f>
        <v>0</v>
      </c>
      <c r="P41" s="2" t="str">
        <f aca="false">IF(ABS(O41)&lt;=0.01,"OK","CHECK")</f>
        <v>OK</v>
      </c>
    </row>
    <row r="42" customFormat="false" ht="15" hidden="false" customHeight="false" outlineLevel="0" collapsed="false">
      <c r="A42" s="2" t="s">
        <v>99</v>
      </c>
      <c r="B42" s="2" t="s">
        <v>26</v>
      </c>
      <c r="C42" s="2" t="s">
        <v>102</v>
      </c>
      <c r="D42" s="2" t="s">
        <v>19</v>
      </c>
      <c r="E42" s="2" t="s">
        <v>20</v>
      </c>
      <c r="F42" s="2" t="s">
        <v>21</v>
      </c>
      <c r="G42" s="2" t="n">
        <v>21</v>
      </c>
      <c r="H42" s="2" t="s">
        <v>22</v>
      </c>
      <c r="I42" s="3" t="n">
        <v>1.6843</v>
      </c>
      <c r="J42" s="3" t="n">
        <v>1</v>
      </c>
      <c r="K42" s="3" t="n">
        <v>1.6843</v>
      </c>
      <c r="L42" s="4" t="n">
        <v>215.24</v>
      </c>
      <c r="M42" s="4" t="n">
        <v>362.53</v>
      </c>
      <c r="N42" s="4" t="n">
        <f aca="false">ROUND(K42*L42,2)</f>
        <v>362.53</v>
      </c>
      <c r="O42" s="4" t="n">
        <f aca="false">N42-M42</f>
        <v>0</v>
      </c>
      <c r="P42" s="2" t="str">
        <f aca="false">IF(ABS(O42)&lt;=0.01,"OK","CHECK")</f>
        <v>OK</v>
      </c>
    </row>
    <row r="43" customFormat="false" ht="15" hidden="false" customHeight="false" outlineLevel="0" collapsed="false">
      <c r="A43" s="2" t="s">
        <v>103</v>
      </c>
      <c r="B43" s="2" t="s">
        <v>23</v>
      </c>
      <c r="C43" s="2" t="s">
        <v>104</v>
      </c>
      <c r="D43" s="2" t="s">
        <v>33</v>
      </c>
      <c r="E43" s="2" t="s">
        <v>105</v>
      </c>
      <c r="F43" s="2" t="s">
        <v>106</v>
      </c>
      <c r="G43" s="2" t="n">
        <v>19</v>
      </c>
      <c r="H43" s="2" t="s">
        <v>22</v>
      </c>
      <c r="I43" s="3" t="n">
        <v>1.2842</v>
      </c>
      <c r="J43" s="3" t="n">
        <v>1</v>
      </c>
      <c r="K43" s="3" t="n">
        <v>1.2842</v>
      </c>
      <c r="L43" s="4" t="n">
        <v>42.47</v>
      </c>
      <c r="M43" s="4" t="n">
        <v>54.54</v>
      </c>
      <c r="N43" s="4" t="n">
        <f aca="false">ROUND(K43*L43,2)</f>
        <v>54.54</v>
      </c>
      <c r="O43" s="4" t="n">
        <f aca="false">N43-M43</f>
        <v>0</v>
      </c>
      <c r="P43" s="2" t="str">
        <f aca="false">IF(ABS(O43)&lt;=0.01,"OK","CHECK")</f>
        <v>OK</v>
      </c>
    </row>
    <row r="44" customFormat="false" ht="15" hidden="false" customHeight="false" outlineLevel="0" collapsed="false">
      <c r="A44" s="2" t="s">
        <v>103</v>
      </c>
      <c r="B44" s="2" t="s">
        <v>56</v>
      </c>
      <c r="C44" s="2" t="s">
        <v>107</v>
      </c>
      <c r="D44" s="2" t="s">
        <v>33</v>
      </c>
      <c r="E44" s="2" t="s">
        <v>105</v>
      </c>
      <c r="F44" s="2" t="s">
        <v>106</v>
      </c>
      <c r="G44" s="2" t="n">
        <v>19</v>
      </c>
      <c r="H44" s="2" t="s">
        <v>22</v>
      </c>
      <c r="I44" s="3" t="n">
        <v>1.2842</v>
      </c>
      <c r="J44" s="3" t="n">
        <v>1</v>
      </c>
      <c r="K44" s="3" t="n">
        <v>1.2842</v>
      </c>
      <c r="L44" s="4" t="n">
        <v>64</v>
      </c>
      <c r="M44" s="4" t="n">
        <v>82.19</v>
      </c>
      <c r="N44" s="4" t="n">
        <f aca="false">ROUND(K44*L44,2)</f>
        <v>82.19</v>
      </c>
      <c r="O44" s="4" t="n">
        <f aca="false">N44-M44</f>
        <v>0</v>
      </c>
      <c r="P44" s="2" t="str">
        <f aca="false">IF(ABS(O44)&lt;=0.01,"OK","CHECK")</f>
        <v>OK</v>
      </c>
    </row>
    <row r="45" customFormat="false" ht="15" hidden="false" customHeight="false" outlineLevel="0" collapsed="false">
      <c r="A45" s="2" t="s">
        <v>103</v>
      </c>
      <c r="B45" s="2" t="s">
        <v>17</v>
      </c>
      <c r="C45" s="2" t="s">
        <v>108</v>
      </c>
      <c r="D45" s="2" t="s">
        <v>19</v>
      </c>
      <c r="E45" s="2" t="s">
        <v>20</v>
      </c>
      <c r="F45" s="2" t="s">
        <v>21</v>
      </c>
      <c r="G45" s="2" t="n">
        <v>21</v>
      </c>
      <c r="H45" s="2" t="s">
        <v>22</v>
      </c>
      <c r="I45" s="3" t="n">
        <v>1.7488</v>
      </c>
      <c r="J45" s="3" t="n">
        <v>1</v>
      </c>
      <c r="K45" s="3" t="n">
        <v>1.7488</v>
      </c>
      <c r="L45" s="4" t="n">
        <v>300.01</v>
      </c>
      <c r="M45" s="4" t="n">
        <v>524.66</v>
      </c>
      <c r="N45" s="4" t="n">
        <f aca="false">ROUND(K45*L45,2)</f>
        <v>524.66</v>
      </c>
      <c r="O45" s="4" t="n">
        <f aca="false">N45-M45</f>
        <v>0</v>
      </c>
      <c r="P45" s="2" t="str">
        <f aca="false">IF(ABS(O45)&lt;=0.01,"OK","CHECK")</f>
        <v>OK</v>
      </c>
    </row>
    <row r="46" customFormat="false" ht="15" hidden="false" customHeight="false" outlineLevel="0" collapsed="false">
      <c r="A46" s="2" t="s">
        <v>103</v>
      </c>
      <c r="B46" s="2" t="s">
        <v>23</v>
      </c>
      <c r="C46" s="2" t="s">
        <v>109</v>
      </c>
      <c r="D46" s="2" t="s">
        <v>19</v>
      </c>
      <c r="E46" s="2" t="s">
        <v>105</v>
      </c>
      <c r="F46" s="2" t="s">
        <v>106</v>
      </c>
      <c r="G46" s="2" t="n">
        <v>19</v>
      </c>
      <c r="H46" s="2" t="s">
        <v>22</v>
      </c>
      <c r="I46" s="3" t="n">
        <v>1.7403</v>
      </c>
      <c r="J46" s="3" t="n">
        <v>1</v>
      </c>
      <c r="K46" s="3" t="n">
        <v>1.7403</v>
      </c>
      <c r="L46" s="4" t="n">
        <v>258</v>
      </c>
      <c r="M46" s="4" t="n">
        <v>449</v>
      </c>
      <c r="N46" s="4" t="n">
        <f aca="false">ROUND(K46*L46,2)</f>
        <v>449</v>
      </c>
      <c r="O46" s="4" t="n">
        <f aca="false">N46-M46</f>
        <v>0</v>
      </c>
      <c r="P46" s="2" t="str">
        <f aca="false">IF(ABS(O46)&lt;=0.01,"OK","CHECK")</f>
        <v>OK</v>
      </c>
    </row>
    <row r="47" customFormat="false" ht="15" hidden="false" customHeight="false" outlineLevel="0" collapsed="false">
      <c r="A47" s="2" t="s">
        <v>103</v>
      </c>
      <c r="B47" s="2" t="s">
        <v>66</v>
      </c>
      <c r="C47" s="2" t="s">
        <v>110</v>
      </c>
      <c r="D47" s="2" t="s">
        <v>19</v>
      </c>
      <c r="E47" s="2" t="s">
        <v>105</v>
      </c>
      <c r="F47" s="2" t="s">
        <v>106</v>
      </c>
      <c r="G47" s="2" t="n">
        <v>19</v>
      </c>
      <c r="H47" s="2" t="s">
        <v>22</v>
      </c>
      <c r="I47" s="3" t="n">
        <v>1.7067</v>
      </c>
      <c r="J47" s="3" t="n">
        <v>1</v>
      </c>
      <c r="K47" s="3" t="n">
        <v>1.7067</v>
      </c>
      <c r="L47" s="4" t="n">
        <v>300.05</v>
      </c>
      <c r="M47" s="4" t="n">
        <v>512.1</v>
      </c>
      <c r="N47" s="4" t="n">
        <f aca="false">ROUND(K47*L47,2)</f>
        <v>512.1</v>
      </c>
      <c r="O47" s="4" t="n">
        <f aca="false">N47-M47</f>
        <v>0</v>
      </c>
      <c r="P47" s="2" t="str">
        <f aca="false">IF(ABS(O47)&lt;=0.01,"OK","CHECK")</f>
        <v>OK</v>
      </c>
    </row>
    <row r="48" customFormat="false" ht="15" hidden="false" customHeight="false" outlineLevel="0" collapsed="false">
      <c r="A48" s="2" t="s">
        <v>103</v>
      </c>
      <c r="B48" s="2" t="s">
        <v>56</v>
      </c>
      <c r="C48" s="2" t="s">
        <v>111</v>
      </c>
      <c r="D48" s="2" t="s">
        <v>19</v>
      </c>
      <c r="E48" s="2" t="s">
        <v>105</v>
      </c>
      <c r="F48" s="2" t="s">
        <v>106</v>
      </c>
      <c r="G48" s="2" t="n">
        <v>19</v>
      </c>
      <c r="H48" s="2" t="s">
        <v>22</v>
      </c>
      <c r="I48" s="3" t="n">
        <v>1.6529</v>
      </c>
      <c r="J48" s="3" t="n">
        <v>1</v>
      </c>
      <c r="K48" s="3" t="n">
        <v>1.6529</v>
      </c>
      <c r="L48" s="4" t="n">
        <v>550.02</v>
      </c>
      <c r="M48" s="4" t="n">
        <v>909.13</v>
      </c>
      <c r="N48" s="4" t="n">
        <f aca="false">ROUND(K48*L48,2)</f>
        <v>909.13</v>
      </c>
      <c r="O48" s="4" t="n">
        <f aca="false">N48-M48</f>
        <v>0</v>
      </c>
      <c r="P48" s="2" t="str">
        <f aca="false">IF(ABS(O48)&lt;=0.01,"OK","CHECK")</f>
        <v>OK</v>
      </c>
    </row>
    <row r="49" customFormat="false" ht="15" hidden="false" customHeight="false" outlineLevel="0" collapsed="false">
      <c r="A49" s="2" t="s">
        <v>112</v>
      </c>
      <c r="B49" s="2" t="s">
        <v>26</v>
      </c>
      <c r="C49" s="2" t="s">
        <v>93</v>
      </c>
      <c r="D49" s="2" t="s">
        <v>33</v>
      </c>
      <c r="E49" s="2" t="s">
        <v>20</v>
      </c>
      <c r="F49" s="2" t="s">
        <v>21</v>
      </c>
      <c r="G49" s="2" t="n">
        <v>21</v>
      </c>
      <c r="H49" s="2" t="s">
        <v>22</v>
      </c>
      <c r="I49" s="3" t="n">
        <v>1.312</v>
      </c>
      <c r="J49" s="3" t="n">
        <v>1</v>
      </c>
      <c r="K49" s="3" t="n">
        <v>1.312</v>
      </c>
      <c r="L49" s="4" t="n">
        <v>20.19</v>
      </c>
      <c r="M49" s="4" t="n">
        <v>26.49</v>
      </c>
      <c r="N49" s="4" t="n">
        <f aca="false">ROUND(K49*L49,2)</f>
        <v>26.49</v>
      </c>
      <c r="O49" s="4" t="n">
        <f aca="false">N49-M49</f>
        <v>0</v>
      </c>
      <c r="P49" s="2" t="str">
        <f aca="false">IF(ABS(O49)&lt;=0.01,"OK","CHECK")</f>
        <v>OK</v>
      </c>
    </row>
    <row r="50" customFormat="false" ht="15" hidden="false" customHeight="false" outlineLevel="0" collapsed="false">
      <c r="A50" s="2" t="s">
        <v>112</v>
      </c>
      <c r="B50" s="2" t="s">
        <v>71</v>
      </c>
      <c r="C50" s="2" t="s">
        <v>113</v>
      </c>
      <c r="D50" s="2" t="s">
        <v>19</v>
      </c>
      <c r="E50" s="2" t="s">
        <v>20</v>
      </c>
      <c r="F50" s="2" t="s">
        <v>21</v>
      </c>
      <c r="G50" s="2" t="n">
        <v>21</v>
      </c>
      <c r="H50" s="2" t="s">
        <v>22</v>
      </c>
      <c r="I50" s="3" t="n">
        <v>1.7488</v>
      </c>
      <c r="J50" s="3" t="n">
        <v>1</v>
      </c>
      <c r="K50" s="3" t="n">
        <v>1.7488</v>
      </c>
      <c r="L50" s="4" t="n">
        <v>421.09</v>
      </c>
      <c r="M50" s="4" t="n">
        <v>736.4</v>
      </c>
      <c r="N50" s="4" t="n">
        <f aca="false">ROUND(K50*L50,2)</f>
        <v>736.4</v>
      </c>
      <c r="O50" s="4" t="n">
        <f aca="false">N50-M50</f>
        <v>0</v>
      </c>
      <c r="P50" s="2" t="str">
        <f aca="false">IF(ABS(O50)&lt;=0.01,"OK","CHECK")</f>
        <v>OK</v>
      </c>
    </row>
    <row r="51" customFormat="false" ht="15" hidden="false" customHeight="false" outlineLevel="0" collapsed="false">
      <c r="A51" s="2" t="s">
        <v>112</v>
      </c>
      <c r="B51" s="2" t="s">
        <v>43</v>
      </c>
      <c r="C51" s="2" t="s">
        <v>44</v>
      </c>
      <c r="D51" s="2" t="s">
        <v>19</v>
      </c>
      <c r="E51" s="2" t="s">
        <v>47</v>
      </c>
      <c r="F51" s="2" t="s">
        <v>21</v>
      </c>
      <c r="G51" s="2" t="n">
        <v>21</v>
      </c>
      <c r="H51" s="2" t="s">
        <v>22</v>
      </c>
      <c r="I51" s="3" t="n">
        <v>1.7694</v>
      </c>
      <c r="J51" s="3" t="n">
        <v>1</v>
      </c>
      <c r="K51" s="3" t="n">
        <v>1.7694</v>
      </c>
      <c r="L51" s="4" t="n">
        <v>490.56</v>
      </c>
      <c r="M51" s="4" t="n">
        <v>868</v>
      </c>
      <c r="N51" s="4" t="n">
        <f aca="false">ROUND(K51*L51,2)</f>
        <v>868</v>
      </c>
      <c r="O51" s="4" t="n">
        <f aca="false">N51-M51</f>
        <v>0</v>
      </c>
      <c r="P51" s="2" t="str">
        <f aca="false">IF(ABS(O51)&lt;=0.01,"OK","CHECK")</f>
        <v>OK</v>
      </c>
    </row>
    <row r="52" customFormat="false" ht="15" hidden="false" customHeight="false" outlineLevel="0" collapsed="false">
      <c r="A52" s="2" t="s">
        <v>112</v>
      </c>
      <c r="B52" s="2" t="s">
        <v>26</v>
      </c>
      <c r="C52" s="2" t="s">
        <v>114</v>
      </c>
      <c r="D52" s="2" t="s">
        <v>19</v>
      </c>
      <c r="E52" s="2" t="s">
        <v>20</v>
      </c>
      <c r="F52" s="2" t="s">
        <v>21</v>
      </c>
      <c r="G52" s="2" t="n">
        <v>21</v>
      </c>
      <c r="H52" s="2" t="s">
        <v>22</v>
      </c>
      <c r="I52" s="3" t="n">
        <v>1.6843</v>
      </c>
      <c r="J52" s="3" t="n">
        <v>1</v>
      </c>
      <c r="K52" s="3" t="n">
        <v>1.6843</v>
      </c>
      <c r="L52" s="4" t="n">
        <v>490.31</v>
      </c>
      <c r="M52" s="4" t="n">
        <v>825.83</v>
      </c>
      <c r="N52" s="4" t="n">
        <f aca="false">ROUND(K52*L52,2)</f>
        <v>825.83</v>
      </c>
      <c r="O52" s="4" t="n">
        <f aca="false">N52-M52</f>
        <v>0</v>
      </c>
      <c r="P52" s="2" t="str">
        <f aca="false">IF(ABS(O52)&lt;=0.01,"OK","CHECK")</f>
        <v>OK</v>
      </c>
    </row>
    <row r="53" customFormat="false" ht="15" hidden="false" customHeight="false" outlineLevel="0" collapsed="false">
      <c r="A53" s="2" t="s">
        <v>115</v>
      </c>
      <c r="B53" s="2" t="s">
        <v>36</v>
      </c>
      <c r="C53" s="2" t="s">
        <v>116</v>
      </c>
      <c r="D53" s="2" t="s">
        <v>19</v>
      </c>
      <c r="E53" s="2" t="s">
        <v>20</v>
      </c>
      <c r="F53" s="2" t="s">
        <v>21</v>
      </c>
      <c r="G53" s="2" t="n">
        <v>21</v>
      </c>
      <c r="H53" s="2" t="s">
        <v>22</v>
      </c>
      <c r="I53" s="3" t="n">
        <v>1.8116</v>
      </c>
      <c r="J53" s="3" t="n">
        <v>1</v>
      </c>
      <c r="K53" s="3" t="n">
        <v>1.8116</v>
      </c>
      <c r="L53" s="4" t="n">
        <v>470.01</v>
      </c>
      <c r="M53" s="4" t="n">
        <v>851.47</v>
      </c>
      <c r="N53" s="4" t="n">
        <f aca="false">ROUND(K53*L53,2)</f>
        <v>851.47</v>
      </c>
      <c r="O53" s="4" t="n">
        <f aca="false">N53-M53</f>
        <v>0</v>
      </c>
      <c r="P53" s="2" t="str">
        <f aca="false">IF(ABS(O53)&lt;=0.01,"OK","CHECK")</f>
        <v>OK</v>
      </c>
    </row>
    <row r="54" customFormat="false" ht="15" hidden="false" customHeight="false" outlineLevel="0" collapsed="false">
      <c r="A54" s="2" t="s">
        <v>115</v>
      </c>
      <c r="B54" s="2" t="s">
        <v>26</v>
      </c>
      <c r="C54" s="2" t="s">
        <v>117</v>
      </c>
      <c r="D54" s="2" t="s">
        <v>19</v>
      </c>
      <c r="E54" s="2" t="s">
        <v>20</v>
      </c>
      <c r="F54" s="2" t="s">
        <v>21</v>
      </c>
      <c r="G54" s="2" t="n">
        <v>21</v>
      </c>
      <c r="H54" s="2" t="s">
        <v>22</v>
      </c>
      <c r="I54" s="3" t="n">
        <v>1.6843</v>
      </c>
      <c r="J54" s="3" t="n">
        <v>1</v>
      </c>
      <c r="K54" s="3" t="n">
        <v>1.6843</v>
      </c>
      <c r="L54" s="4" t="n">
        <v>420.01</v>
      </c>
      <c r="M54" s="4" t="n">
        <v>707.42</v>
      </c>
      <c r="N54" s="4" t="n">
        <f aca="false">ROUND(K54*L54,2)</f>
        <v>707.42</v>
      </c>
      <c r="O54" s="4" t="n">
        <f aca="false">N54-M54</f>
        <v>0</v>
      </c>
      <c r="P54" s="2" t="str">
        <f aca="false">IF(ABS(O54)&lt;=0.01,"OK","CHECK")</f>
        <v>OK</v>
      </c>
    </row>
    <row r="55" customFormat="false" ht="15" hidden="false" customHeight="false" outlineLevel="0" collapsed="false">
      <c r="A55" s="2" t="s">
        <v>118</v>
      </c>
      <c r="B55" s="2" t="s">
        <v>23</v>
      </c>
      <c r="C55" s="2" t="s">
        <v>119</v>
      </c>
      <c r="D55" s="2" t="s">
        <v>33</v>
      </c>
      <c r="E55" s="2" t="s">
        <v>20</v>
      </c>
      <c r="F55" s="2" t="s">
        <v>21</v>
      </c>
      <c r="G55" s="2" t="n">
        <v>21</v>
      </c>
      <c r="H55" s="2" t="s">
        <v>22</v>
      </c>
      <c r="I55" s="3" t="n">
        <v>1.312</v>
      </c>
      <c r="J55" s="3" t="n">
        <v>1</v>
      </c>
      <c r="K55" s="3" t="n">
        <v>1.312</v>
      </c>
      <c r="L55" s="4" t="n">
        <v>3.01</v>
      </c>
      <c r="M55" s="4" t="n">
        <v>3.95</v>
      </c>
      <c r="N55" s="4" t="n">
        <f aca="false">ROUND(K55*L55,2)</f>
        <v>3.95</v>
      </c>
      <c r="O55" s="4" t="n">
        <f aca="false">N55-M55</f>
        <v>0</v>
      </c>
      <c r="P55" s="2" t="str">
        <f aca="false">IF(ABS(O55)&lt;=0.01,"OK","CHECK")</f>
        <v>OK</v>
      </c>
    </row>
    <row r="56" customFormat="false" ht="15" hidden="false" customHeight="false" outlineLevel="0" collapsed="false">
      <c r="A56" s="2" t="s">
        <v>118</v>
      </c>
      <c r="B56" s="2" t="s">
        <v>23</v>
      </c>
      <c r="C56" s="2" t="s">
        <v>120</v>
      </c>
      <c r="D56" s="2" t="s">
        <v>33</v>
      </c>
      <c r="E56" s="2" t="s">
        <v>20</v>
      </c>
      <c r="F56" s="2" t="s">
        <v>21</v>
      </c>
      <c r="G56" s="2" t="n">
        <v>21</v>
      </c>
      <c r="H56" s="2" t="s">
        <v>22</v>
      </c>
      <c r="I56" s="3" t="n">
        <v>1.312</v>
      </c>
      <c r="J56" s="3" t="n">
        <v>1</v>
      </c>
      <c r="K56" s="3" t="n">
        <v>1.312</v>
      </c>
      <c r="L56" s="4" t="n">
        <v>42</v>
      </c>
      <c r="M56" s="4" t="n">
        <v>55.1</v>
      </c>
      <c r="N56" s="4" t="n">
        <f aca="false">ROUND(K56*L56,2)</f>
        <v>55.1</v>
      </c>
      <c r="O56" s="4" t="n">
        <f aca="false">N56-M56</f>
        <v>0</v>
      </c>
      <c r="P56" s="2" t="str">
        <f aca="false">IF(ABS(O56)&lt;=0.01,"OK","CHECK")</f>
        <v>OK</v>
      </c>
    </row>
    <row r="57" customFormat="false" ht="15" hidden="false" customHeight="false" outlineLevel="0" collapsed="false">
      <c r="A57" s="2" t="s">
        <v>118</v>
      </c>
      <c r="B57" s="2" t="s">
        <v>121</v>
      </c>
      <c r="C57" s="2" t="s">
        <v>122</v>
      </c>
      <c r="D57" s="2" t="s">
        <v>19</v>
      </c>
      <c r="E57" s="2" t="s">
        <v>20</v>
      </c>
      <c r="F57" s="2" t="s">
        <v>21</v>
      </c>
      <c r="G57" s="2" t="n">
        <v>21</v>
      </c>
      <c r="H57" s="2" t="s">
        <v>22</v>
      </c>
      <c r="I57" s="3" t="n">
        <v>1.7488</v>
      </c>
      <c r="J57" s="3" t="n">
        <v>1</v>
      </c>
      <c r="K57" s="3" t="n">
        <v>1.7488</v>
      </c>
      <c r="L57" s="4" t="n">
        <v>330.01</v>
      </c>
      <c r="M57" s="4" t="n">
        <v>577.12</v>
      </c>
      <c r="N57" s="4" t="n">
        <f aca="false">ROUND(K57*L57,2)</f>
        <v>577.12</v>
      </c>
      <c r="O57" s="4" t="n">
        <f aca="false">N57-M57</f>
        <v>0</v>
      </c>
      <c r="P57" s="2" t="str">
        <f aca="false">IF(ABS(O57)&lt;=0.01,"OK","CHECK")</f>
        <v>OK</v>
      </c>
    </row>
    <row r="58" customFormat="false" ht="15" hidden="false" customHeight="false" outlineLevel="0" collapsed="false">
      <c r="A58" s="2" t="s">
        <v>118</v>
      </c>
      <c r="B58" s="2" t="s">
        <v>23</v>
      </c>
      <c r="C58" s="2" t="s">
        <v>123</v>
      </c>
      <c r="D58" s="2" t="s">
        <v>19</v>
      </c>
      <c r="E58" s="2" t="s">
        <v>20</v>
      </c>
      <c r="F58" s="2" t="s">
        <v>21</v>
      </c>
      <c r="G58" s="2" t="n">
        <v>21</v>
      </c>
      <c r="H58" s="2" t="s">
        <v>22</v>
      </c>
      <c r="I58" s="3" t="n">
        <v>1.8116</v>
      </c>
      <c r="J58" s="3" t="n">
        <v>1</v>
      </c>
      <c r="K58" s="3" t="n">
        <v>1.8116</v>
      </c>
      <c r="L58" s="4" t="n">
        <v>530.05</v>
      </c>
      <c r="M58" s="4" t="n">
        <v>960.24</v>
      </c>
      <c r="N58" s="4" t="n">
        <f aca="false">ROUND(K58*L58,2)</f>
        <v>960.24</v>
      </c>
      <c r="O58" s="4" t="n">
        <f aca="false">N58-M58</f>
        <v>0</v>
      </c>
      <c r="P58" s="2" t="str">
        <f aca="false">IF(ABS(O58)&lt;=0.01,"OK","CHECK")</f>
        <v>OK</v>
      </c>
    </row>
    <row r="59" customFormat="false" ht="15" hidden="false" customHeight="false" outlineLevel="0" collapsed="false">
      <c r="A59" s="2" t="s">
        <v>124</v>
      </c>
      <c r="B59" s="2" t="s">
        <v>36</v>
      </c>
      <c r="C59" s="2" t="s">
        <v>37</v>
      </c>
      <c r="D59" s="2" t="s">
        <v>19</v>
      </c>
      <c r="E59" s="2" t="s">
        <v>20</v>
      </c>
      <c r="F59" s="2" t="s">
        <v>21</v>
      </c>
      <c r="G59" s="2" t="n">
        <v>21</v>
      </c>
      <c r="H59" s="2" t="s">
        <v>22</v>
      </c>
      <c r="I59" s="3" t="n">
        <v>1.8116</v>
      </c>
      <c r="J59" s="3" t="n">
        <v>1</v>
      </c>
      <c r="K59" s="3" t="n">
        <v>1.8116</v>
      </c>
      <c r="L59" s="4" t="n">
        <v>886</v>
      </c>
      <c r="M59" s="4" t="n">
        <v>1605.08</v>
      </c>
      <c r="N59" s="4" t="n">
        <f aca="false">ROUND(K59*L59,2)</f>
        <v>1605.08</v>
      </c>
      <c r="O59" s="4" t="n">
        <f aca="false">N59-M59</f>
        <v>0</v>
      </c>
      <c r="P59" s="2" t="str">
        <f aca="false">IF(ABS(O59)&lt;=0.01,"OK","CHECK")</f>
        <v>OK</v>
      </c>
    </row>
    <row r="60" customFormat="false" ht="15" hidden="false" customHeight="false" outlineLevel="0" collapsed="false">
      <c r="A60" s="2" t="s">
        <v>124</v>
      </c>
      <c r="B60" s="2" t="s">
        <v>56</v>
      </c>
      <c r="C60" s="2" t="s">
        <v>125</v>
      </c>
      <c r="D60" s="2" t="s">
        <v>19</v>
      </c>
      <c r="E60" s="2" t="s">
        <v>20</v>
      </c>
      <c r="F60" s="2" t="s">
        <v>21</v>
      </c>
      <c r="G60" s="2" t="n">
        <v>21</v>
      </c>
      <c r="H60" s="2" t="s">
        <v>22</v>
      </c>
      <c r="I60" s="3" t="n">
        <v>1.7694</v>
      </c>
      <c r="J60" s="3" t="n">
        <v>1</v>
      </c>
      <c r="K60" s="3" t="n">
        <v>1.7694</v>
      </c>
      <c r="L60" s="4" t="n">
        <v>690.02</v>
      </c>
      <c r="M60" s="4" t="n">
        <v>1220.92</v>
      </c>
      <c r="N60" s="4" t="n">
        <f aca="false">ROUND(K60*L60,2)</f>
        <v>1220.92</v>
      </c>
      <c r="O60" s="4" t="n">
        <f aca="false">N60-M60</f>
        <v>0</v>
      </c>
      <c r="P60" s="2" t="str">
        <f aca="false">IF(ABS(O60)&lt;=0.01,"OK","CHECK")</f>
        <v>OK</v>
      </c>
    </row>
    <row r="61" customFormat="false" ht="15" hidden="false" customHeight="false" outlineLevel="0" collapsed="false">
      <c r="A61" s="2" t="s">
        <v>126</v>
      </c>
      <c r="B61" s="2" t="s">
        <v>66</v>
      </c>
      <c r="C61" s="2" t="s">
        <v>127</v>
      </c>
      <c r="D61" s="2" t="s">
        <v>33</v>
      </c>
      <c r="E61" s="2" t="s">
        <v>20</v>
      </c>
      <c r="F61" s="2" t="s">
        <v>21</v>
      </c>
      <c r="G61" s="2" t="n">
        <v>21</v>
      </c>
      <c r="H61" s="2" t="s">
        <v>22</v>
      </c>
      <c r="I61" s="3" t="n">
        <v>1.312</v>
      </c>
      <c r="J61" s="3" t="n">
        <v>1</v>
      </c>
      <c r="K61" s="3" t="n">
        <v>1.312</v>
      </c>
      <c r="L61" s="4" t="n">
        <v>30.2</v>
      </c>
      <c r="M61" s="4" t="n">
        <v>39.62</v>
      </c>
      <c r="N61" s="4" t="n">
        <f aca="false">ROUND(K61*L61,2)</f>
        <v>39.62</v>
      </c>
      <c r="O61" s="4" t="n">
        <f aca="false">N61-M61</f>
        <v>0</v>
      </c>
      <c r="P61" s="2" t="str">
        <f aca="false">IF(ABS(O61)&lt;=0.01,"OK","CHECK")</f>
        <v>OK</v>
      </c>
    </row>
    <row r="62" customFormat="false" ht="15" hidden="false" customHeight="false" outlineLevel="0" collapsed="false">
      <c r="A62" s="2" t="s">
        <v>126</v>
      </c>
      <c r="B62" s="2" t="s">
        <v>17</v>
      </c>
      <c r="C62" s="2" t="s">
        <v>128</v>
      </c>
      <c r="D62" s="2" t="s">
        <v>19</v>
      </c>
      <c r="E62" s="2" t="s">
        <v>20</v>
      </c>
      <c r="F62" s="2" t="s">
        <v>21</v>
      </c>
      <c r="G62" s="2" t="n">
        <v>21</v>
      </c>
      <c r="H62" s="2" t="s">
        <v>22</v>
      </c>
      <c r="I62" s="3" t="n">
        <v>1.7488</v>
      </c>
      <c r="J62" s="3" t="n">
        <v>1</v>
      </c>
      <c r="K62" s="3" t="n">
        <v>1.7488</v>
      </c>
      <c r="L62" s="4" t="n">
        <v>580</v>
      </c>
      <c r="M62" s="4" t="n">
        <v>1014.3</v>
      </c>
      <c r="N62" s="4" t="n">
        <f aca="false">ROUND(K62*L62,2)</f>
        <v>1014.3</v>
      </c>
      <c r="O62" s="4" t="n">
        <f aca="false">N62-M62</f>
        <v>0</v>
      </c>
      <c r="P62" s="2" t="str">
        <f aca="false">IF(ABS(O62)&lt;=0.01,"OK","CHECK")</f>
        <v>OK</v>
      </c>
    </row>
    <row r="63" customFormat="false" ht="15" hidden="false" customHeight="false" outlineLevel="0" collapsed="false">
      <c r="A63" s="2" t="s">
        <v>126</v>
      </c>
      <c r="B63" s="2" t="s">
        <v>66</v>
      </c>
      <c r="C63" s="2" t="s">
        <v>129</v>
      </c>
      <c r="D63" s="2" t="s">
        <v>19</v>
      </c>
      <c r="E63" s="2" t="s">
        <v>20</v>
      </c>
      <c r="F63" s="2" t="s">
        <v>21</v>
      </c>
      <c r="G63" s="2" t="n">
        <v>21</v>
      </c>
      <c r="H63" s="2" t="s">
        <v>22</v>
      </c>
      <c r="I63" s="3" t="n">
        <v>1.7694</v>
      </c>
      <c r="J63" s="3" t="n">
        <v>1</v>
      </c>
      <c r="K63" s="3" t="n">
        <v>1.7694</v>
      </c>
      <c r="L63" s="4" t="n">
        <v>670</v>
      </c>
      <c r="M63" s="4" t="n">
        <v>1185.5</v>
      </c>
      <c r="N63" s="4" t="n">
        <f aca="false">ROUND(K63*L63,2)</f>
        <v>1185.5</v>
      </c>
      <c r="O63" s="4" t="n">
        <f aca="false">N63-M63</f>
        <v>0</v>
      </c>
      <c r="P63" s="2" t="str">
        <f aca="false">IF(ABS(O63)&lt;=0.01,"OK","CHECK")</f>
        <v>OK</v>
      </c>
    </row>
    <row r="64" customFormat="false" ht="15" hidden="false" customHeight="false" outlineLevel="0" collapsed="false">
      <c r="A64" s="2" t="s">
        <v>126</v>
      </c>
      <c r="B64" s="2" t="s">
        <v>26</v>
      </c>
      <c r="C64" s="2" t="s">
        <v>130</v>
      </c>
      <c r="D64" s="2" t="s">
        <v>19</v>
      </c>
      <c r="E64" s="2" t="s">
        <v>20</v>
      </c>
      <c r="F64" s="2" t="s">
        <v>21</v>
      </c>
      <c r="G64" s="2" t="n">
        <v>21</v>
      </c>
      <c r="H64" s="2" t="s">
        <v>22</v>
      </c>
      <c r="I64" s="3" t="n">
        <v>1.6843</v>
      </c>
      <c r="J64" s="3" t="n">
        <v>1</v>
      </c>
      <c r="K64" s="3" t="n">
        <v>1.6843</v>
      </c>
      <c r="L64" s="4" t="n">
        <v>860.02</v>
      </c>
      <c r="M64" s="4" t="n">
        <v>1448.53</v>
      </c>
      <c r="N64" s="4" t="n">
        <f aca="false">ROUND(K64*L64,2)</f>
        <v>1448.53</v>
      </c>
      <c r="O64" s="4" t="n">
        <f aca="false">N64-M64</f>
        <v>0</v>
      </c>
      <c r="P64" s="2" t="str">
        <f aca="false">IF(ABS(O64)&lt;=0.01,"OK","CHECK")</f>
        <v>OK</v>
      </c>
    </row>
    <row r="65" customFormat="false" ht="15" hidden="false" customHeight="false" outlineLevel="0" collapsed="false">
      <c r="A65" s="2" t="s">
        <v>131</v>
      </c>
      <c r="B65" s="2" t="s">
        <v>17</v>
      </c>
      <c r="C65" s="2" t="s">
        <v>113</v>
      </c>
      <c r="D65" s="2" t="s">
        <v>19</v>
      </c>
      <c r="E65" s="2" t="s">
        <v>20</v>
      </c>
      <c r="F65" s="2" t="s">
        <v>21</v>
      </c>
      <c r="G65" s="2" t="n">
        <v>21</v>
      </c>
      <c r="H65" s="2" t="s">
        <v>22</v>
      </c>
      <c r="I65" s="3" t="n">
        <v>1.7488</v>
      </c>
      <c r="J65" s="3" t="n">
        <v>1</v>
      </c>
      <c r="K65" s="3" t="n">
        <v>1.7488</v>
      </c>
      <c r="L65" s="4" t="n">
        <v>473.87</v>
      </c>
      <c r="M65" s="4" t="n">
        <v>828.7</v>
      </c>
      <c r="N65" s="4" t="n">
        <f aca="false">ROUND(K65*L65,2)</f>
        <v>828.7</v>
      </c>
      <c r="O65" s="4" t="n">
        <f aca="false">N65-M65</f>
        <v>0</v>
      </c>
      <c r="P65" s="2" t="str">
        <f aca="false">IF(ABS(O65)&lt;=0.01,"OK","CHECK")</f>
        <v>OK</v>
      </c>
    </row>
    <row r="66" customFormat="false" ht="15" hidden="false" customHeight="false" outlineLevel="0" collapsed="false">
      <c r="A66" s="2" t="s">
        <v>131</v>
      </c>
      <c r="B66" s="2" t="s">
        <v>66</v>
      </c>
      <c r="C66" s="2" t="s">
        <v>110</v>
      </c>
      <c r="D66" s="2" t="s">
        <v>19</v>
      </c>
      <c r="E66" s="2" t="s">
        <v>20</v>
      </c>
      <c r="F66" s="2" t="s">
        <v>21</v>
      </c>
      <c r="G66" s="2" t="n">
        <v>21</v>
      </c>
      <c r="H66" s="2" t="s">
        <v>22</v>
      </c>
      <c r="I66" s="3" t="n">
        <v>1.7694</v>
      </c>
      <c r="J66" s="3" t="n">
        <v>1</v>
      </c>
      <c r="K66" s="3" t="n">
        <v>1.7694</v>
      </c>
      <c r="L66" s="4" t="n">
        <v>617.33</v>
      </c>
      <c r="M66" s="4" t="n">
        <v>1092.3</v>
      </c>
      <c r="N66" s="4" t="n">
        <f aca="false">ROUND(K66*L66,2)</f>
        <v>1092.3</v>
      </c>
      <c r="O66" s="4" t="n">
        <f aca="false">N66-M66</f>
        <v>0</v>
      </c>
      <c r="P66" s="2" t="str">
        <f aca="false">IF(ABS(O66)&lt;=0.01,"OK","CHECK")</f>
        <v>OK</v>
      </c>
    </row>
    <row r="67" customFormat="false" ht="15" hidden="false" customHeight="false" outlineLevel="0" collapsed="false">
      <c r="A67" s="2" t="s">
        <v>132</v>
      </c>
      <c r="B67" s="2" t="s">
        <v>36</v>
      </c>
      <c r="C67" s="2" t="s">
        <v>133</v>
      </c>
      <c r="D67" s="2" t="s">
        <v>33</v>
      </c>
      <c r="E67" s="2" t="s">
        <v>62</v>
      </c>
      <c r="F67" s="2" t="s">
        <v>21</v>
      </c>
      <c r="G67" s="2" t="n">
        <v>21</v>
      </c>
      <c r="H67" s="2" t="s">
        <v>22</v>
      </c>
      <c r="I67" s="3" t="n">
        <v>1.312</v>
      </c>
      <c r="J67" s="3" t="n">
        <v>1</v>
      </c>
      <c r="K67" s="3" t="n">
        <v>1.312</v>
      </c>
      <c r="L67" s="4" t="n">
        <v>51.19</v>
      </c>
      <c r="M67" s="4" t="n">
        <v>67.16</v>
      </c>
      <c r="N67" s="4" t="n">
        <f aca="false">ROUND(K67*L67,2)</f>
        <v>67.16</v>
      </c>
      <c r="O67" s="4" t="n">
        <f aca="false">N67-M67</f>
        <v>0</v>
      </c>
      <c r="P67" s="2" t="str">
        <f aca="false">IF(ABS(O67)&lt;=0.01,"OK","CHECK")</f>
        <v>OK</v>
      </c>
    </row>
    <row r="68" customFormat="false" ht="15" hidden="false" customHeight="false" outlineLevel="0" collapsed="false">
      <c r="A68" s="2" t="s">
        <v>132</v>
      </c>
      <c r="B68" s="2" t="s">
        <v>36</v>
      </c>
      <c r="C68" s="2" t="s">
        <v>134</v>
      </c>
      <c r="D68" s="2" t="s">
        <v>19</v>
      </c>
      <c r="E68" s="2" t="s">
        <v>62</v>
      </c>
      <c r="F68" s="2" t="s">
        <v>21</v>
      </c>
      <c r="G68" s="2" t="n">
        <v>21</v>
      </c>
      <c r="H68" s="2" t="s">
        <v>22</v>
      </c>
      <c r="I68" s="3" t="n">
        <v>1.8116</v>
      </c>
      <c r="J68" s="3" t="n">
        <v>1</v>
      </c>
      <c r="K68" s="3" t="n">
        <v>1.8116</v>
      </c>
      <c r="L68" s="4" t="n">
        <v>526.16</v>
      </c>
      <c r="M68" s="4" t="n">
        <v>953.19</v>
      </c>
      <c r="N68" s="4" t="n">
        <f aca="false">ROUND(K68*L68,2)</f>
        <v>953.19</v>
      </c>
      <c r="O68" s="4" t="n">
        <f aca="false">N68-M68</f>
        <v>0</v>
      </c>
      <c r="P68" s="2" t="str">
        <f aca="false">IF(ABS(O68)&lt;=0.01,"OK","CHECK")</f>
        <v>OK</v>
      </c>
    </row>
    <row r="69" customFormat="false" ht="15" hidden="false" customHeight="false" outlineLevel="0" collapsed="false">
      <c r="A69" s="2" t="s">
        <v>132</v>
      </c>
      <c r="B69" s="2" t="s">
        <v>36</v>
      </c>
      <c r="C69" s="2" t="s">
        <v>135</v>
      </c>
      <c r="D69" s="2" t="s">
        <v>19</v>
      </c>
      <c r="E69" s="2" t="s">
        <v>62</v>
      </c>
      <c r="F69" s="2" t="s">
        <v>21</v>
      </c>
      <c r="G69" s="2" t="n">
        <v>21</v>
      </c>
      <c r="H69" s="2" t="s">
        <v>22</v>
      </c>
      <c r="I69" s="3" t="n">
        <v>1.8116</v>
      </c>
      <c r="J69" s="3" t="n">
        <v>1</v>
      </c>
      <c r="K69" s="3" t="n">
        <v>1.8116</v>
      </c>
      <c r="L69" s="4" t="n">
        <v>315.1</v>
      </c>
      <c r="M69" s="4" t="n">
        <v>570.84</v>
      </c>
      <c r="N69" s="4" t="n">
        <f aca="false">ROUND(K69*L69,2)</f>
        <v>570.84</v>
      </c>
      <c r="O69" s="4" t="n">
        <f aca="false">N69-M69</f>
        <v>0</v>
      </c>
      <c r="P69" s="2" t="str">
        <f aca="false">IF(ABS(O69)&lt;=0.01,"OK","CHECK")</f>
        <v>OK</v>
      </c>
    </row>
    <row r="70" customFormat="false" ht="15" hidden="false" customHeight="false" outlineLevel="0" collapsed="false">
      <c r="A70" s="2" t="s">
        <v>136</v>
      </c>
      <c r="B70" s="2" t="s">
        <v>121</v>
      </c>
      <c r="C70" s="2" t="s">
        <v>137</v>
      </c>
      <c r="D70" s="2" t="s">
        <v>138</v>
      </c>
      <c r="E70" s="2" t="s">
        <v>139</v>
      </c>
      <c r="F70" s="2" t="s">
        <v>140</v>
      </c>
      <c r="G70" s="2" t="n">
        <v>23</v>
      </c>
      <c r="H70" s="2" t="s">
        <v>141</v>
      </c>
      <c r="I70" s="3" t="n">
        <v>4.0019</v>
      </c>
      <c r="J70" s="3" t="n">
        <v>4.2465</v>
      </c>
      <c r="K70" s="3" t="n">
        <v>0.9424</v>
      </c>
      <c r="L70" s="4" t="n">
        <v>50</v>
      </c>
      <c r="M70" s="4" t="n">
        <v>47.12</v>
      </c>
      <c r="N70" s="4" t="n">
        <f aca="false">ROUND(K70*L70,2)</f>
        <v>47.12</v>
      </c>
      <c r="O70" s="4" t="n">
        <f aca="false">N70-M70</f>
        <v>0</v>
      </c>
      <c r="P70" s="2" t="str">
        <f aca="false">IF(ABS(O70)&lt;=0.01,"OK","CHECK")</f>
        <v>OK</v>
      </c>
    </row>
    <row r="71" customFormat="false" ht="15" hidden="false" customHeight="false" outlineLevel="0" collapsed="false">
      <c r="A71" s="2" t="s">
        <v>136</v>
      </c>
      <c r="B71" s="2" t="s">
        <v>26</v>
      </c>
      <c r="C71" s="2" t="s">
        <v>142</v>
      </c>
      <c r="D71" s="2" t="s">
        <v>19</v>
      </c>
      <c r="E71" s="2" t="s">
        <v>20</v>
      </c>
      <c r="F71" s="2" t="s">
        <v>21</v>
      </c>
      <c r="G71" s="2" t="n">
        <v>21</v>
      </c>
      <c r="H71" s="2" t="s">
        <v>22</v>
      </c>
      <c r="I71" s="3" t="n">
        <v>1.6843</v>
      </c>
      <c r="J71" s="3" t="n">
        <v>1</v>
      </c>
      <c r="K71" s="3" t="n">
        <v>1.6843</v>
      </c>
      <c r="L71" s="4" t="n">
        <v>810.01</v>
      </c>
      <c r="M71" s="4" t="n">
        <v>1364.3</v>
      </c>
      <c r="N71" s="4" t="n">
        <f aca="false">ROUND(K71*L71,2)</f>
        <v>1364.3</v>
      </c>
      <c r="O71" s="4" t="n">
        <f aca="false">N71-M71</f>
        <v>0</v>
      </c>
      <c r="P71" s="2" t="str">
        <f aca="false">IF(ABS(O71)&lt;=0.01,"OK","CHECK")</f>
        <v>OK</v>
      </c>
    </row>
    <row r="72" customFormat="false" ht="15" hidden="false" customHeight="false" outlineLevel="0" collapsed="false">
      <c r="A72" s="2" t="s">
        <v>143</v>
      </c>
      <c r="B72" s="2" t="s">
        <v>23</v>
      </c>
      <c r="C72" s="2" t="s">
        <v>144</v>
      </c>
      <c r="D72" s="2" t="s">
        <v>19</v>
      </c>
      <c r="E72" s="2" t="s">
        <v>145</v>
      </c>
      <c r="F72" s="2" t="s">
        <v>21</v>
      </c>
      <c r="G72" s="2" t="n">
        <v>21</v>
      </c>
      <c r="H72" s="2" t="s">
        <v>22</v>
      </c>
      <c r="I72" s="3" t="n">
        <v>1.8116</v>
      </c>
      <c r="J72" s="3" t="n">
        <v>1</v>
      </c>
      <c r="K72" s="3" t="n">
        <v>1.8116</v>
      </c>
      <c r="L72" s="4" t="n">
        <v>250.11</v>
      </c>
      <c r="M72" s="4" t="n">
        <v>453.1</v>
      </c>
      <c r="N72" s="4" t="n">
        <f aca="false">ROUND(K72*L72,2)</f>
        <v>453.1</v>
      </c>
      <c r="O72" s="4" t="n">
        <f aca="false">N72-M72</f>
        <v>0</v>
      </c>
      <c r="P72" s="2" t="str">
        <f aca="false">IF(ABS(O72)&lt;=0.01,"OK","CHECK")</f>
        <v>OK</v>
      </c>
    </row>
    <row r="73" customFormat="false" ht="15" hidden="false" customHeight="false" outlineLevel="0" collapsed="false">
      <c r="A73" s="2" t="s">
        <v>143</v>
      </c>
      <c r="B73" s="2" t="s">
        <v>53</v>
      </c>
      <c r="C73" s="2" t="s">
        <v>146</v>
      </c>
      <c r="D73" s="2" t="s">
        <v>39</v>
      </c>
      <c r="E73" s="2" t="s">
        <v>147</v>
      </c>
      <c r="F73" s="2" t="s">
        <v>148</v>
      </c>
      <c r="G73" s="2" t="n">
        <v>20</v>
      </c>
      <c r="H73" s="2" t="s">
        <v>22</v>
      </c>
      <c r="I73" s="3" t="n">
        <v>1.7067</v>
      </c>
      <c r="J73" s="3" t="n">
        <v>1</v>
      </c>
      <c r="K73" s="3" t="n">
        <v>1.7067</v>
      </c>
      <c r="L73" s="4" t="n">
        <v>460</v>
      </c>
      <c r="M73" s="4" t="n">
        <v>785.08</v>
      </c>
      <c r="N73" s="4" t="n">
        <f aca="false">ROUND(K73*L73,2)</f>
        <v>785.08</v>
      </c>
      <c r="O73" s="4" t="n">
        <f aca="false">N73-M73</f>
        <v>0</v>
      </c>
      <c r="P73" s="2" t="str">
        <f aca="false">IF(ABS(O73)&lt;=0.01,"OK","CHECK")</f>
        <v>OK</v>
      </c>
    </row>
    <row r="74" customFormat="false" ht="15" hidden="false" customHeight="false" outlineLevel="0" collapsed="false">
      <c r="A74" s="2" t="s">
        <v>143</v>
      </c>
      <c r="B74" s="2" t="s">
        <v>53</v>
      </c>
      <c r="C74" s="2" t="s">
        <v>149</v>
      </c>
      <c r="D74" s="2" t="s">
        <v>39</v>
      </c>
      <c r="E74" s="2" t="s">
        <v>147</v>
      </c>
      <c r="F74" s="2" t="s">
        <v>148</v>
      </c>
      <c r="G74" s="2" t="n">
        <v>20</v>
      </c>
      <c r="H74" s="2" t="s">
        <v>22</v>
      </c>
      <c r="I74" s="3" t="n">
        <v>1.7067</v>
      </c>
      <c r="J74" s="3" t="n">
        <v>1</v>
      </c>
      <c r="K74" s="3" t="n">
        <v>1.7067</v>
      </c>
      <c r="L74" s="4" t="n">
        <v>110.07</v>
      </c>
      <c r="M74" s="4" t="n">
        <v>187.86</v>
      </c>
      <c r="N74" s="4" t="n">
        <f aca="false">ROUND(K74*L74,2)</f>
        <v>187.86</v>
      </c>
      <c r="O74" s="4" t="n">
        <f aca="false">N74-M74</f>
        <v>0</v>
      </c>
      <c r="P74" s="2" t="str">
        <f aca="false">IF(ABS(O74)&lt;=0.01,"OK","CHECK")</f>
        <v>OK</v>
      </c>
    </row>
    <row r="75" customFormat="false" ht="15" hidden="false" customHeight="false" outlineLevel="0" collapsed="false">
      <c r="A75" s="2" t="s">
        <v>150</v>
      </c>
      <c r="B75" s="2" t="s">
        <v>36</v>
      </c>
      <c r="C75" s="2" t="s">
        <v>151</v>
      </c>
      <c r="D75" s="2" t="s">
        <v>19</v>
      </c>
      <c r="E75" s="2" t="s">
        <v>20</v>
      </c>
      <c r="F75" s="2" t="s">
        <v>21</v>
      </c>
      <c r="G75" s="2" t="n">
        <v>21</v>
      </c>
      <c r="H75" s="2" t="s">
        <v>22</v>
      </c>
      <c r="I75" s="3" t="n">
        <v>1.8116</v>
      </c>
      <c r="J75" s="3" t="n">
        <v>1</v>
      </c>
      <c r="K75" s="3" t="n">
        <v>1.8116</v>
      </c>
      <c r="L75" s="4" t="n">
        <v>545</v>
      </c>
      <c r="M75" s="4" t="n">
        <v>987.32</v>
      </c>
      <c r="N75" s="4" t="n">
        <f aca="false">ROUND(K75*L75,2)</f>
        <v>987.32</v>
      </c>
      <c r="O75" s="4" t="n">
        <f aca="false">N75-M75</f>
        <v>0</v>
      </c>
      <c r="P75" s="2" t="str">
        <f aca="false">IF(ABS(O75)&lt;=0.01,"OK","CHECK")</f>
        <v>OK</v>
      </c>
    </row>
    <row r="76" customFormat="false" ht="15" hidden="false" customHeight="false" outlineLevel="0" collapsed="false">
      <c r="A76" s="2" t="s">
        <v>150</v>
      </c>
      <c r="B76" s="2" t="s">
        <v>26</v>
      </c>
      <c r="C76" s="2" t="s">
        <v>152</v>
      </c>
      <c r="D76" s="2" t="s">
        <v>19</v>
      </c>
      <c r="E76" s="2" t="s">
        <v>20</v>
      </c>
      <c r="F76" s="2" t="s">
        <v>21</v>
      </c>
      <c r="G76" s="2" t="n">
        <v>21</v>
      </c>
      <c r="H76" s="2" t="s">
        <v>22</v>
      </c>
      <c r="I76" s="3" t="n">
        <v>1.6843</v>
      </c>
      <c r="J76" s="3" t="n">
        <v>1</v>
      </c>
      <c r="K76" s="3" t="n">
        <v>1.6843</v>
      </c>
      <c r="L76" s="4" t="n">
        <v>730</v>
      </c>
      <c r="M76" s="4" t="n">
        <v>1229.54</v>
      </c>
      <c r="N76" s="4" t="n">
        <f aca="false">ROUND(K76*L76,2)</f>
        <v>1229.54</v>
      </c>
      <c r="O76" s="4" t="n">
        <f aca="false">N76-M76</f>
        <v>0</v>
      </c>
      <c r="P76" s="2" t="str">
        <f aca="false">IF(ABS(O76)&lt;=0.01,"OK","CHECK")</f>
        <v>OK</v>
      </c>
    </row>
    <row r="77" customFormat="false" ht="15" hidden="false" customHeight="false" outlineLevel="0" collapsed="false">
      <c r="A77" s="2" t="s">
        <v>153</v>
      </c>
      <c r="B77" s="2" t="s">
        <v>41</v>
      </c>
      <c r="C77" s="2" t="s">
        <v>154</v>
      </c>
      <c r="D77" s="2" t="s">
        <v>33</v>
      </c>
      <c r="E77" s="2" t="s">
        <v>20</v>
      </c>
      <c r="F77" s="2" t="s">
        <v>21</v>
      </c>
      <c r="G77" s="2" t="n">
        <v>21</v>
      </c>
      <c r="H77" s="2" t="s">
        <v>22</v>
      </c>
      <c r="I77" s="3" t="n">
        <v>1.312</v>
      </c>
      <c r="J77" s="3" t="n">
        <v>1</v>
      </c>
      <c r="K77" s="3" t="n">
        <v>1.312</v>
      </c>
      <c r="L77" s="4" t="n">
        <v>22.77</v>
      </c>
      <c r="M77" s="4" t="n">
        <v>29.87</v>
      </c>
      <c r="N77" s="4" t="n">
        <f aca="false">ROUND(K77*L77,2)</f>
        <v>29.87</v>
      </c>
      <c r="O77" s="4" t="n">
        <f aca="false">N77-M77</f>
        <v>0</v>
      </c>
      <c r="P77" s="2" t="str">
        <f aca="false">IF(ABS(O77)&lt;=0.01,"OK","CHECK")</f>
        <v>OK</v>
      </c>
    </row>
    <row r="78" customFormat="false" ht="15" hidden="false" customHeight="false" outlineLevel="0" collapsed="false">
      <c r="A78" s="2" t="s">
        <v>153</v>
      </c>
      <c r="B78" s="2" t="s">
        <v>66</v>
      </c>
      <c r="C78" s="2" t="s">
        <v>155</v>
      </c>
      <c r="D78" s="2" t="s">
        <v>19</v>
      </c>
      <c r="E78" s="2" t="s">
        <v>20</v>
      </c>
      <c r="F78" s="2" t="s">
        <v>21</v>
      </c>
      <c r="G78" s="2" t="n">
        <v>21</v>
      </c>
      <c r="H78" s="2" t="s">
        <v>22</v>
      </c>
      <c r="I78" s="3" t="n">
        <v>1.7694</v>
      </c>
      <c r="J78" s="3" t="n">
        <v>1</v>
      </c>
      <c r="K78" s="3" t="n">
        <v>1.7694</v>
      </c>
      <c r="L78" s="4" t="n">
        <v>202.37</v>
      </c>
      <c r="M78" s="4" t="n">
        <v>358.07</v>
      </c>
      <c r="N78" s="4" t="n">
        <f aca="false">ROUND(K78*L78,2)</f>
        <v>358.07</v>
      </c>
      <c r="O78" s="4" t="n">
        <f aca="false">N78-M78</f>
        <v>0</v>
      </c>
      <c r="P78" s="2" t="str">
        <f aca="false">IF(ABS(O78)&lt;=0.01,"OK","CHECK")</f>
        <v>OK</v>
      </c>
    </row>
    <row r="79" customFormat="false" ht="15" hidden="false" customHeight="false" outlineLevel="0" collapsed="false">
      <c r="A79" s="2" t="s">
        <v>153</v>
      </c>
      <c r="B79" s="2" t="s">
        <v>41</v>
      </c>
      <c r="C79" s="2" t="s">
        <v>156</v>
      </c>
      <c r="D79" s="2" t="s">
        <v>19</v>
      </c>
      <c r="E79" s="2" t="s">
        <v>20</v>
      </c>
      <c r="F79" s="2" t="s">
        <v>21</v>
      </c>
      <c r="G79" s="2" t="n">
        <v>21</v>
      </c>
      <c r="H79" s="2" t="s">
        <v>22</v>
      </c>
      <c r="I79" s="3" t="n">
        <v>1.7694</v>
      </c>
      <c r="J79" s="3" t="n">
        <v>1</v>
      </c>
      <c r="K79" s="3" t="n">
        <v>1.7694</v>
      </c>
      <c r="L79" s="4" t="n">
        <v>234.04</v>
      </c>
      <c r="M79" s="4" t="n">
        <v>414.11</v>
      </c>
      <c r="N79" s="4" t="n">
        <f aca="false">ROUND(K79*L79,2)</f>
        <v>414.11</v>
      </c>
      <c r="O79" s="4" t="n">
        <f aca="false">N79-M79</f>
        <v>0</v>
      </c>
      <c r="P79" s="2" t="str">
        <f aca="false">IF(ABS(O79)&lt;=0.01,"OK","CHECK")</f>
        <v>OK</v>
      </c>
    </row>
    <row r="80" customFormat="false" ht="15" hidden="false" customHeight="false" outlineLevel="0" collapsed="false">
      <c r="A80" s="2" t="s">
        <v>157</v>
      </c>
      <c r="B80" s="2" t="s">
        <v>71</v>
      </c>
      <c r="C80" s="2" t="s">
        <v>57</v>
      </c>
      <c r="D80" s="2" t="s">
        <v>33</v>
      </c>
      <c r="E80" s="2" t="s">
        <v>105</v>
      </c>
      <c r="F80" s="2" t="s">
        <v>106</v>
      </c>
      <c r="G80" s="2" t="n">
        <v>19</v>
      </c>
      <c r="H80" s="2" t="s">
        <v>22</v>
      </c>
      <c r="I80" s="3" t="n">
        <v>1.2842</v>
      </c>
      <c r="J80" s="3" t="n">
        <v>1</v>
      </c>
      <c r="K80" s="3" t="n">
        <v>1.2842</v>
      </c>
      <c r="L80" s="4" t="n">
        <v>15.01</v>
      </c>
      <c r="M80" s="4" t="n">
        <v>19.28</v>
      </c>
      <c r="N80" s="4" t="n">
        <f aca="false">ROUND(K80*L80,2)</f>
        <v>19.28</v>
      </c>
      <c r="O80" s="4" t="n">
        <f aca="false">N80-M80</f>
        <v>0</v>
      </c>
      <c r="P80" s="2" t="str">
        <f aca="false">IF(ABS(O80)&lt;=0.01,"OK","CHECK")</f>
        <v>OK</v>
      </c>
    </row>
    <row r="81" customFormat="false" ht="15" hidden="false" customHeight="false" outlineLevel="0" collapsed="false">
      <c r="A81" s="2" t="s">
        <v>157</v>
      </c>
      <c r="B81" s="2" t="s">
        <v>56</v>
      </c>
      <c r="C81" s="2" t="s">
        <v>158</v>
      </c>
      <c r="D81" s="2" t="s">
        <v>33</v>
      </c>
      <c r="E81" s="2" t="s">
        <v>105</v>
      </c>
      <c r="F81" s="2" t="s">
        <v>106</v>
      </c>
      <c r="G81" s="2" t="n">
        <v>19</v>
      </c>
      <c r="H81" s="2" t="s">
        <v>22</v>
      </c>
      <c r="I81" s="3" t="n">
        <v>1.2842</v>
      </c>
      <c r="J81" s="3" t="n">
        <v>1</v>
      </c>
      <c r="K81" s="3" t="n">
        <v>1.2842</v>
      </c>
      <c r="L81" s="4" t="n">
        <v>28.03</v>
      </c>
      <c r="M81" s="4" t="n">
        <v>36</v>
      </c>
      <c r="N81" s="4" t="n">
        <f aca="false">ROUND(K81*L81,2)</f>
        <v>36</v>
      </c>
      <c r="O81" s="4" t="n">
        <f aca="false">N81-M81</f>
        <v>0</v>
      </c>
      <c r="P81" s="2" t="str">
        <f aca="false">IF(ABS(O81)&lt;=0.01,"OK","CHECK")</f>
        <v>OK</v>
      </c>
    </row>
    <row r="82" customFormat="false" ht="15" hidden="false" customHeight="false" outlineLevel="0" collapsed="false">
      <c r="A82" s="2" t="s">
        <v>157</v>
      </c>
      <c r="B82" s="2" t="s">
        <v>71</v>
      </c>
      <c r="C82" s="2" t="s">
        <v>159</v>
      </c>
      <c r="D82" s="2" t="s">
        <v>19</v>
      </c>
      <c r="E82" s="2" t="s">
        <v>105</v>
      </c>
      <c r="F82" s="2" t="s">
        <v>106</v>
      </c>
      <c r="G82" s="2" t="n">
        <v>19</v>
      </c>
      <c r="H82" s="2" t="s">
        <v>22</v>
      </c>
      <c r="I82" s="3" t="n">
        <v>1.7403</v>
      </c>
      <c r="J82" s="3" t="n">
        <v>1</v>
      </c>
      <c r="K82" s="3" t="n">
        <v>1.7403</v>
      </c>
      <c r="L82" s="4" t="n">
        <v>252.9</v>
      </c>
      <c r="M82" s="4" t="n">
        <v>440.12</v>
      </c>
      <c r="N82" s="4" t="n">
        <f aca="false">ROUND(K82*L82,2)</f>
        <v>440.12</v>
      </c>
      <c r="O82" s="4" t="n">
        <f aca="false">N82-M82</f>
        <v>0</v>
      </c>
      <c r="P82" s="2" t="str">
        <f aca="false">IF(ABS(O82)&lt;=0.01,"OK","CHECK")</f>
        <v>OK</v>
      </c>
    </row>
    <row r="83" customFormat="false" ht="15" hidden="false" customHeight="false" outlineLevel="0" collapsed="false">
      <c r="A83" s="2" t="s">
        <v>157</v>
      </c>
      <c r="B83" s="2" t="s">
        <v>66</v>
      </c>
      <c r="C83" s="2" t="s">
        <v>160</v>
      </c>
      <c r="D83" s="2" t="s">
        <v>19</v>
      </c>
      <c r="E83" s="2" t="s">
        <v>105</v>
      </c>
      <c r="F83" s="2" t="s">
        <v>106</v>
      </c>
      <c r="G83" s="2" t="n">
        <v>19</v>
      </c>
      <c r="H83" s="2" t="s">
        <v>22</v>
      </c>
      <c r="I83" s="3" t="n">
        <v>1.7067</v>
      </c>
      <c r="J83" s="3" t="n">
        <v>1</v>
      </c>
      <c r="K83" s="3" t="n">
        <v>1.7067</v>
      </c>
      <c r="L83" s="4" t="n">
        <v>326.95</v>
      </c>
      <c r="M83" s="4" t="n">
        <v>558.01</v>
      </c>
      <c r="N83" s="4" t="n">
        <f aca="false">ROUND(K83*L83,2)</f>
        <v>558.01</v>
      </c>
      <c r="O83" s="4" t="n">
        <f aca="false">N83-M83</f>
        <v>0</v>
      </c>
      <c r="P83" s="2" t="str">
        <f aca="false">IF(ABS(O83)&lt;=0.01,"OK","CHECK")</f>
        <v>OK</v>
      </c>
    </row>
    <row r="84" customFormat="false" ht="15" hidden="false" customHeight="false" outlineLevel="0" collapsed="false">
      <c r="A84" s="2" t="s">
        <v>157</v>
      </c>
      <c r="B84" s="2" t="s">
        <v>66</v>
      </c>
      <c r="C84" s="2" t="s">
        <v>161</v>
      </c>
      <c r="D84" s="2" t="s">
        <v>19</v>
      </c>
      <c r="E84" s="2" t="s">
        <v>105</v>
      </c>
      <c r="F84" s="2" t="s">
        <v>106</v>
      </c>
      <c r="G84" s="2" t="n">
        <v>19</v>
      </c>
      <c r="H84" s="2" t="s">
        <v>22</v>
      </c>
      <c r="I84" s="3" t="n">
        <v>1.7067</v>
      </c>
      <c r="J84" s="3" t="n">
        <v>1</v>
      </c>
      <c r="K84" s="3" t="n">
        <v>1.7067</v>
      </c>
      <c r="L84" s="4" t="n">
        <v>243.56</v>
      </c>
      <c r="M84" s="4" t="n">
        <v>415.68</v>
      </c>
      <c r="N84" s="4" t="n">
        <f aca="false">ROUND(K84*L84,2)</f>
        <v>415.68</v>
      </c>
      <c r="O84" s="4" t="n">
        <f aca="false">N84-M84</f>
        <v>0</v>
      </c>
      <c r="P84" s="2" t="str">
        <f aca="false">IF(ABS(O84)&lt;=0.01,"OK","CHECK")</f>
        <v>OK</v>
      </c>
    </row>
    <row r="85" customFormat="false" ht="15" hidden="false" customHeight="false" outlineLevel="0" collapsed="false">
      <c r="A85" s="2" t="s">
        <v>157</v>
      </c>
      <c r="B85" s="2" t="s">
        <v>56</v>
      </c>
      <c r="C85" s="2" t="s">
        <v>162</v>
      </c>
      <c r="D85" s="2" t="s">
        <v>19</v>
      </c>
      <c r="E85" s="2" t="s">
        <v>105</v>
      </c>
      <c r="F85" s="2" t="s">
        <v>106</v>
      </c>
      <c r="G85" s="2" t="n">
        <v>19</v>
      </c>
      <c r="H85" s="2" t="s">
        <v>22</v>
      </c>
      <c r="I85" s="3" t="n">
        <v>1.6529</v>
      </c>
      <c r="J85" s="3" t="n">
        <v>1</v>
      </c>
      <c r="K85" s="3" t="n">
        <v>1.6529</v>
      </c>
      <c r="L85" s="4" t="n">
        <v>292.46</v>
      </c>
      <c r="M85" s="4" t="n">
        <v>483.41</v>
      </c>
      <c r="N85" s="4" t="n">
        <f aca="false">ROUND(K85*L85,2)</f>
        <v>483.41</v>
      </c>
      <c r="O85" s="4" t="n">
        <f aca="false">N85-M85</f>
        <v>0</v>
      </c>
      <c r="P85" s="2" t="str">
        <f aca="false">IF(ABS(O85)&lt;=0.01,"OK","CHECK")</f>
        <v>OK</v>
      </c>
    </row>
    <row r="86" customFormat="false" ht="15" hidden="false" customHeight="false" outlineLevel="0" collapsed="false">
      <c r="A86" s="2" t="s">
        <v>157</v>
      </c>
      <c r="B86" s="2" t="s">
        <v>26</v>
      </c>
      <c r="C86" s="2" t="s">
        <v>163</v>
      </c>
      <c r="D86" s="2" t="s">
        <v>19</v>
      </c>
      <c r="E86" s="2" t="s">
        <v>105</v>
      </c>
      <c r="F86" s="2" t="s">
        <v>106</v>
      </c>
      <c r="G86" s="2" t="n">
        <v>19</v>
      </c>
      <c r="H86" s="2" t="s">
        <v>22</v>
      </c>
      <c r="I86" s="3" t="n">
        <v>1.6513</v>
      </c>
      <c r="J86" s="3" t="n">
        <v>1</v>
      </c>
      <c r="K86" s="3" t="n">
        <v>1.6513</v>
      </c>
      <c r="L86" s="4" t="n">
        <v>201.88</v>
      </c>
      <c r="M86" s="4" t="n">
        <v>333.36</v>
      </c>
      <c r="N86" s="4" t="n">
        <f aca="false">ROUND(K86*L86,2)</f>
        <v>333.36</v>
      </c>
      <c r="O86" s="4" t="n">
        <f aca="false">N86-M86</f>
        <v>0</v>
      </c>
      <c r="P86" s="2" t="str">
        <f aca="false">IF(ABS(O86)&lt;=0.01,"OK","CHECK")</f>
        <v>OK</v>
      </c>
    </row>
    <row r="87" customFormat="false" ht="15" hidden="false" customHeight="false" outlineLevel="0" collapsed="false">
      <c r="A87" s="2" t="s">
        <v>164</v>
      </c>
      <c r="B87" s="2" t="s">
        <v>43</v>
      </c>
      <c r="C87" s="2" t="s">
        <v>165</v>
      </c>
      <c r="D87" s="2" t="s">
        <v>33</v>
      </c>
      <c r="E87" s="2" t="s">
        <v>166</v>
      </c>
      <c r="F87" s="2" t="s">
        <v>30</v>
      </c>
      <c r="G87" s="2" t="n">
        <v>20</v>
      </c>
      <c r="H87" s="2" t="s">
        <v>22</v>
      </c>
      <c r="I87" s="3" t="n">
        <v>0.982</v>
      </c>
      <c r="J87" s="3" t="n">
        <v>1</v>
      </c>
      <c r="K87" s="3" t="n">
        <v>0.982</v>
      </c>
      <c r="L87" s="4" t="n">
        <v>62.8</v>
      </c>
      <c r="M87" s="4" t="n">
        <v>61.67</v>
      </c>
      <c r="N87" s="4" t="n">
        <f aca="false">ROUND(K87*L87,2)</f>
        <v>61.67</v>
      </c>
      <c r="O87" s="4" t="n">
        <f aca="false">N87-M87</f>
        <v>0</v>
      </c>
      <c r="P87" s="2" t="str">
        <f aca="false">IF(ABS(O87)&lt;=0.01,"OK","CHECK")</f>
        <v>OK</v>
      </c>
    </row>
    <row r="88" customFormat="false" ht="15" hidden="false" customHeight="false" outlineLevel="0" collapsed="false">
      <c r="A88" s="2" t="s">
        <v>164</v>
      </c>
      <c r="B88" s="2" t="s">
        <v>71</v>
      </c>
      <c r="C88" s="2" t="s">
        <v>167</v>
      </c>
      <c r="D88" s="2" t="s">
        <v>28</v>
      </c>
      <c r="E88" s="2" t="s">
        <v>168</v>
      </c>
      <c r="F88" s="2" t="s">
        <v>30</v>
      </c>
      <c r="G88" s="2" t="n">
        <v>20</v>
      </c>
      <c r="H88" s="2" t="s">
        <v>22</v>
      </c>
      <c r="I88" s="3" t="n">
        <v>1.9411</v>
      </c>
      <c r="J88" s="3" t="n">
        <v>1</v>
      </c>
      <c r="K88" s="3" t="n">
        <v>1.9411</v>
      </c>
      <c r="L88" s="4" t="n">
        <v>726</v>
      </c>
      <c r="M88" s="4" t="n">
        <v>1409.24</v>
      </c>
      <c r="N88" s="4" t="n">
        <f aca="false">ROUND(K88*L88,2)</f>
        <v>1409.24</v>
      </c>
      <c r="O88" s="4" t="n">
        <f aca="false">N88-M88</f>
        <v>0</v>
      </c>
      <c r="P88" s="2" t="str">
        <f aca="false">IF(ABS(O88)&lt;=0.01,"OK","CHECK")</f>
        <v>OK</v>
      </c>
    </row>
    <row r="89" customFormat="false" ht="15" hidden="false" customHeight="false" outlineLevel="0" collapsed="false">
      <c r="A89" s="2" t="s">
        <v>164</v>
      </c>
      <c r="B89" s="2" t="s">
        <v>43</v>
      </c>
      <c r="C89" s="2" t="s">
        <v>169</v>
      </c>
      <c r="D89" s="2" t="s">
        <v>28</v>
      </c>
      <c r="E89" s="2" t="s">
        <v>166</v>
      </c>
      <c r="F89" s="2" t="s">
        <v>30</v>
      </c>
      <c r="G89" s="2" t="n">
        <v>20</v>
      </c>
      <c r="H89" s="2" t="s">
        <v>22</v>
      </c>
      <c r="I89" s="3" t="n">
        <v>1.8852</v>
      </c>
      <c r="J89" s="3" t="n">
        <v>1</v>
      </c>
      <c r="K89" s="3" t="n">
        <v>1.8852</v>
      </c>
      <c r="L89" s="4" t="n">
        <v>580</v>
      </c>
      <c r="M89" s="4" t="n">
        <v>1093.42</v>
      </c>
      <c r="N89" s="4" t="n">
        <f aca="false">ROUND(K89*L89,2)</f>
        <v>1093.42</v>
      </c>
      <c r="O89" s="4" t="n">
        <f aca="false">N89-M89</f>
        <v>0</v>
      </c>
      <c r="P89" s="2" t="str">
        <f aca="false">IF(ABS(O89)&lt;=0.01,"OK","CHECK")</f>
        <v>OK</v>
      </c>
    </row>
    <row r="90" customFormat="false" ht="15" hidden="false" customHeight="false" outlineLevel="0" collapsed="false">
      <c r="A90" s="2" t="s">
        <v>170</v>
      </c>
      <c r="B90" s="2" t="s">
        <v>17</v>
      </c>
      <c r="C90" s="2" t="s">
        <v>171</v>
      </c>
      <c r="D90" s="2" t="s">
        <v>77</v>
      </c>
      <c r="E90" s="2" t="s">
        <v>172</v>
      </c>
      <c r="F90" s="2" t="s">
        <v>79</v>
      </c>
      <c r="G90" s="2" t="n">
        <v>25</v>
      </c>
      <c r="H90" s="2" t="s">
        <v>80</v>
      </c>
      <c r="I90" s="3" t="n">
        <v>8.14</v>
      </c>
      <c r="J90" s="3" t="n">
        <v>7.4728</v>
      </c>
      <c r="K90" s="3" t="n">
        <v>1.0893</v>
      </c>
      <c r="L90" s="4" t="n">
        <v>15</v>
      </c>
      <c r="M90" s="4" t="n">
        <v>16.34</v>
      </c>
      <c r="N90" s="4" t="n">
        <f aca="false">ROUND(K90*L90,2)</f>
        <v>16.34</v>
      </c>
      <c r="O90" s="4" t="n">
        <f aca="false">N90-M90</f>
        <v>0</v>
      </c>
      <c r="P90" s="2" t="str">
        <f aca="false">IF(ABS(O90)&lt;=0.01,"OK","CHECK")</f>
        <v>OK</v>
      </c>
    </row>
    <row r="91" customFormat="false" ht="15" hidden="false" customHeight="false" outlineLevel="0" collapsed="false">
      <c r="A91" s="2" t="s">
        <v>170</v>
      </c>
      <c r="B91" s="2" t="s">
        <v>17</v>
      </c>
      <c r="C91" s="2" t="s">
        <v>173</v>
      </c>
      <c r="D91" s="2" t="s">
        <v>82</v>
      </c>
      <c r="E91" s="2" t="s">
        <v>172</v>
      </c>
      <c r="F91" s="2" t="s">
        <v>79</v>
      </c>
      <c r="G91" s="2" t="n">
        <v>25</v>
      </c>
      <c r="H91" s="2" t="s">
        <v>80</v>
      </c>
      <c r="I91" s="3" t="n">
        <v>13.9942</v>
      </c>
      <c r="J91" s="3" t="n">
        <v>7.4728</v>
      </c>
      <c r="K91" s="3" t="n">
        <v>1.8727</v>
      </c>
      <c r="L91" s="4" t="n">
        <v>270</v>
      </c>
      <c r="M91" s="4" t="n">
        <v>505.62</v>
      </c>
      <c r="N91" s="4" t="n">
        <f aca="false">ROUND(K91*L91,2)</f>
        <v>505.63</v>
      </c>
      <c r="O91" s="4" t="n">
        <f aca="false">N91-M91</f>
        <v>0.00999999999999091</v>
      </c>
      <c r="P91" s="2" t="str">
        <f aca="false">IF(ABS(O91)&lt;=0.01,"OK","CHECK")</f>
        <v>OK</v>
      </c>
    </row>
    <row r="92" customFormat="false" ht="15" hidden="false" customHeight="false" outlineLevel="0" collapsed="false">
      <c r="A92" s="2" t="s">
        <v>170</v>
      </c>
      <c r="B92" s="2" t="s">
        <v>17</v>
      </c>
      <c r="C92" s="2" t="s">
        <v>174</v>
      </c>
      <c r="D92" s="2" t="s">
        <v>82</v>
      </c>
      <c r="E92" s="2" t="s">
        <v>172</v>
      </c>
      <c r="F92" s="2" t="s">
        <v>79</v>
      </c>
      <c r="G92" s="2" t="n">
        <v>25</v>
      </c>
      <c r="H92" s="2" t="s">
        <v>80</v>
      </c>
      <c r="I92" s="3" t="n">
        <v>13.9942</v>
      </c>
      <c r="J92" s="3" t="n">
        <v>7.4728</v>
      </c>
      <c r="K92" s="3" t="n">
        <v>1.8727</v>
      </c>
      <c r="L92" s="4" t="n">
        <v>170</v>
      </c>
      <c r="M92" s="4" t="n">
        <v>318.36</v>
      </c>
      <c r="N92" s="4" t="n">
        <f aca="false">ROUND(K92*L92,2)</f>
        <v>318.36</v>
      </c>
      <c r="O92" s="4" t="n">
        <f aca="false">N92-M92</f>
        <v>0</v>
      </c>
      <c r="P92" s="2" t="str">
        <f aca="false">IF(ABS(O92)&lt;=0.01,"OK","CHECK")</f>
        <v>OK</v>
      </c>
    </row>
    <row r="93" customFormat="false" ht="15" hidden="false" customHeight="false" outlineLevel="0" collapsed="false">
      <c r="A93" s="2" t="s">
        <v>175</v>
      </c>
      <c r="B93" s="2" t="s">
        <v>71</v>
      </c>
      <c r="C93" s="2" t="s">
        <v>100</v>
      </c>
      <c r="D93" s="2" t="s">
        <v>19</v>
      </c>
      <c r="E93" s="2" t="s">
        <v>176</v>
      </c>
      <c r="F93" s="2" t="s">
        <v>21</v>
      </c>
      <c r="G93" s="2" t="n">
        <v>21</v>
      </c>
      <c r="H93" s="2" t="s">
        <v>22</v>
      </c>
      <c r="I93" s="3" t="n">
        <v>1.7488</v>
      </c>
      <c r="J93" s="3" t="n">
        <v>1</v>
      </c>
      <c r="K93" s="3" t="n">
        <v>1.7488</v>
      </c>
      <c r="L93" s="4" t="n">
        <v>333.24</v>
      </c>
      <c r="M93" s="4" t="n">
        <v>582.77</v>
      </c>
      <c r="N93" s="4" t="n">
        <f aca="false">ROUND(K93*L93,2)</f>
        <v>582.77</v>
      </c>
      <c r="O93" s="4" t="n">
        <f aca="false">N93-M93</f>
        <v>0</v>
      </c>
      <c r="P93" s="2" t="str">
        <f aca="false">IF(ABS(O93)&lt;=0.01,"OK","CHECK")</f>
        <v>OK</v>
      </c>
    </row>
    <row r="94" customFormat="false" ht="15" hidden="false" customHeight="false" outlineLevel="0" collapsed="false">
      <c r="A94" s="2" t="s">
        <v>175</v>
      </c>
      <c r="B94" s="2" t="s">
        <v>66</v>
      </c>
      <c r="C94" s="2" t="s">
        <v>177</v>
      </c>
      <c r="D94" s="2" t="s">
        <v>19</v>
      </c>
      <c r="E94" s="2" t="s">
        <v>145</v>
      </c>
      <c r="F94" s="2" t="s">
        <v>21</v>
      </c>
      <c r="G94" s="2" t="n">
        <v>21</v>
      </c>
      <c r="H94" s="2" t="s">
        <v>22</v>
      </c>
      <c r="I94" s="3" t="n">
        <v>1.7694</v>
      </c>
      <c r="J94" s="3" t="n">
        <v>1</v>
      </c>
      <c r="K94" s="3" t="n">
        <v>1.7694</v>
      </c>
      <c r="L94" s="4" t="n">
        <v>560</v>
      </c>
      <c r="M94" s="4" t="n">
        <v>990.86</v>
      </c>
      <c r="N94" s="4" t="n">
        <f aca="false">ROUND(K94*L94,2)</f>
        <v>990.86</v>
      </c>
      <c r="O94" s="4" t="n">
        <f aca="false">N94-M94</f>
        <v>0</v>
      </c>
      <c r="P94" s="2" t="str">
        <f aca="false">IF(ABS(O94)&lt;=0.01,"OK","CHECK")</f>
        <v>OK</v>
      </c>
    </row>
    <row r="95" customFormat="false" ht="15" hidden="false" customHeight="false" outlineLevel="0" collapsed="false">
      <c r="A95" s="2" t="s">
        <v>175</v>
      </c>
      <c r="B95" s="2" t="s">
        <v>56</v>
      </c>
      <c r="C95" s="2" t="s">
        <v>104</v>
      </c>
      <c r="D95" s="2" t="s">
        <v>19</v>
      </c>
      <c r="E95" s="2" t="s">
        <v>20</v>
      </c>
      <c r="F95" s="2" t="s">
        <v>21</v>
      </c>
      <c r="G95" s="2" t="n">
        <v>21</v>
      </c>
      <c r="H95" s="2" t="s">
        <v>22</v>
      </c>
      <c r="I95" s="3" t="n">
        <v>1.7694</v>
      </c>
      <c r="J95" s="3" t="n">
        <v>1</v>
      </c>
      <c r="K95" s="3" t="n">
        <v>1.7694</v>
      </c>
      <c r="L95" s="4" t="n">
        <v>494</v>
      </c>
      <c r="M95" s="4" t="n">
        <v>874.08</v>
      </c>
      <c r="N95" s="4" t="n">
        <f aca="false">ROUND(K95*L95,2)</f>
        <v>874.08</v>
      </c>
      <c r="O95" s="4" t="n">
        <f aca="false">N95-M95</f>
        <v>0</v>
      </c>
      <c r="P95" s="2" t="str">
        <f aca="false">IF(ABS(O95)&lt;=0.01,"OK","CHECK")</f>
        <v>OK</v>
      </c>
    </row>
  </sheetData>
  <autoFilter ref="A1:P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5" t="s">
        <v>0</v>
      </c>
      <c r="B1" s="5" t="s">
        <v>178</v>
      </c>
      <c r="C1" s="5" t="s">
        <v>179</v>
      </c>
      <c r="D1" s="5" t="s">
        <v>14</v>
      </c>
      <c r="E1" s="5" t="s">
        <v>15</v>
      </c>
    </row>
    <row r="2" customFormat="false" ht="15" hidden="false" customHeight="false" outlineLevel="0" collapsed="false">
      <c r="A2" s="2" t="s">
        <v>16</v>
      </c>
      <c r="B2" s="4" t="n">
        <v>1479.24</v>
      </c>
      <c r="C2" s="4" t="n">
        <f aca="false">ROUND(SUMIF(Transactions!$A$2:$A$95,A2,Transactions!$M$2:$M$95),2)</f>
        <v>1479.24</v>
      </c>
      <c r="D2" s="4" t="n">
        <f aca="false">C2-B2</f>
        <v>0</v>
      </c>
      <c r="E2" s="2" t="str">
        <f aca="false">IF(ABS(D2)&lt;=0.01,"OK","CHECK")</f>
        <v>OK</v>
      </c>
    </row>
    <row r="3" customFormat="false" ht="15" hidden="false" customHeight="false" outlineLevel="0" collapsed="false">
      <c r="A3" s="2" t="s">
        <v>25</v>
      </c>
      <c r="B3" s="4" t="n">
        <v>358.44</v>
      </c>
      <c r="C3" s="4" t="n">
        <f aca="false">ROUND(SUMIF(Transactions!$A$2:$A$95,A3,Transactions!$M$2:$M$95),2)</f>
        <v>358.44</v>
      </c>
      <c r="D3" s="4" t="n">
        <f aca="false">C3-B3</f>
        <v>0</v>
      </c>
      <c r="E3" s="2" t="str">
        <f aca="false">IF(ABS(D3)&lt;=0.01,"OK","CHECK")</f>
        <v>OK</v>
      </c>
    </row>
    <row r="4" customFormat="false" ht="15" hidden="false" customHeight="false" outlineLevel="0" collapsed="false">
      <c r="A4" s="2" t="s">
        <v>31</v>
      </c>
      <c r="B4" s="4" t="n">
        <v>3222.48</v>
      </c>
      <c r="C4" s="4" t="n">
        <f aca="false">ROUND(SUMIF(Transactions!$A$2:$A$95,A4,Transactions!$M$2:$M$95),2)</f>
        <v>3222.48</v>
      </c>
      <c r="D4" s="4" t="n">
        <f aca="false">C4-B4</f>
        <v>0</v>
      </c>
      <c r="E4" s="2" t="str">
        <f aca="false">IF(ABS(D4)&lt;=0.01,"OK","CHECK")</f>
        <v>OK</v>
      </c>
    </row>
    <row r="5" customFormat="false" ht="15" hidden="false" customHeight="false" outlineLevel="0" collapsed="false">
      <c r="A5" s="2" t="s">
        <v>45</v>
      </c>
      <c r="B5" s="4" t="n">
        <v>2406.09</v>
      </c>
      <c r="C5" s="4" t="n">
        <f aca="false">ROUND(SUMIF(Transactions!$A$2:$A$95,A5,Transactions!$M$2:$M$95),2)</f>
        <v>2406.09</v>
      </c>
      <c r="D5" s="4" t="n">
        <f aca="false">C5-B5</f>
        <v>0</v>
      </c>
      <c r="E5" s="2" t="str">
        <f aca="false">IF(ABS(D5)&lt;=0.01,"OK","CHECK")</f>
        <v>OK</v>
      </c>
    </row>
    <row r="6" customFormat="false" ht="15" hidden="false" customHeight="false" outlineLevel="0" collapsed="false">
      <c r="A6" s="2" t="s">
        <v>49</v>
      </c>
      <c r="B6" s="4" t="n">
        <v>615.94</v>
      </c>
      <c r="C6" s="4" t="n">
        <f aca="false">ROUND(SUMIF(Transactions!$A$2:$A$95,A6,Transactions!$M$2:$M$95),2)</f>
        <v>615.94</v>
      </c>
      <c r="D6" s="4" t="n">
        <f aca="false">C6-B6</f>
        <v>0</v>
      </c>
      <c r="E6" s="2" t="str">
        <f aca="false">IF(ABS(D6)&lt;=0.01,"OK","CHECK")</f>
        <v>OK</v>
      </c>
    </row>
    <row r="7" customFormat="false" ht="15" hidden="false" customHeight="false" outlineLevel="0" collapsed="false">
      <c r="A7" s="2" t="s">
        <v>51</v>
      </c>
      <c r="B7" s="4" t="n">
        <v>2446.66</v>
      </c>
      <c r="C7" s="4" t="n">
        <f aca="false">ROUND(SUMIF(Transactions!$A$2:$A$95,A7,Transactions!$M$2:$M$95),2)</f>
        <v>2446.66</v>
      </c>
      <c r="D7" s="4" t="n">
        <f aca="false">C7-B7</f>
        <v>0</v>
      </c>
      <c r="E7" s="2" t="str">
        <f aca="false">IF(ABS(D7)&lt;=0.01,"OK","CHECK")</f>
        <v>OK</v>
      </c>
    </row>
    <row r="8" customFormat="false" ht="15" hidden="false" customHeight="false" outlineLevel="0" collapsed="false">
      <c r="A8" s="2" t="s">
        <v>55</v>
      </c>
      <c r="B8" s="4" t="n">
        <v>2192.96</v>
      </c>
      <c r="C8" s="4" t="n">
        <f aca="false">ROUND(SUMIF(Transactions!$A$2:$A$95,A8,Transactions!$M$2:$M$95),2)</f>
        <v>2192.96</v>
      </c>
      <c r="D8" s="4" t="n">
        <f aca="false">C8-B8</f>
        <v>0</v>
      </c>
      <c r="E8" s="2" t="str">
        <f aca="false">IF(ABS(D8)&lt;=0.01,"OK","CHECK")</f>
        <v>OK</v>
      </c>
    </row>
    <row r="9" customFormat="false" ht="15" hidden="false" customHeight="false" outlineLevel="0" collapsed="false">
      <c r="A9" s="2" t="s">
        <v>63</v>
      </c>
      <c r="B9" s="4" t="n">
        <v>2251.15</v>
      </c>
      <c r="C9" s="4" t="n">
        <f aca="false">ROUND(SUMIF(Transactions!$A$2:$A$95,A9,Transactions!$M$2:$M$95),2)</f>
        <v>2251.15</v>
      </c>
      <c r="D9" s="4" t="n">
        <f aca="false">C9-B9</f>
        <v>0</v>
      </c>
      <c r="E9" s="2" t="str">
        <f aca="false">IF(ABS(D9)&lt;=0.01,"OK","CHECK")</f>
        <v>OK</v>
      </c>
    </row>
    <row r="10" customFormat="false" ht="15" hidden="false" customHeight="false" outlineLevel="0" collapsed="false">
      <c r="A10" s="2" t="s">
        <v>70</v>
      </c>
      <c r="B10" s="4" t="n">
        <v>1075.69</v>
      </c>
      <c r="C10" s="4" t="n">
        <f aca="false">ROUND(SUMIF(Transactions!$A$2:$A$95,A10,Transactions!$M$2:$M$95),2)</f>
        <v>1075.69</v>
      </c>
      <c r="D10" s="4" t="n">
        <f aca="false">C10-B10</f>
        <v>0</v>
      </c>
      <c r="E10" s="2" t="str">
        <f aca="false">IF(ABS(D10)&lt;=0.01,"OK","CHECK")</f>
        <v>OK</v>
      </c>
    </row>
    <row r="11" customFormat="false" ht="15" hidden="false" customHeight="false" outlineLevel="0" collapsed="false">
      <c r="A11" s="2" t="s">
        <v>74</v>
      </c>
      <c r="B11" s="4" t="n">
        <v>1488.35</v>
      </c>
      <c r="C11" s="4" t="n">
        <f aca="false">ROUND(SUMIF(Transactions!$A$2:$A$95,A11,Transactions!$M$2:$M$95),2)</f>
        <v>1488.35</v>
      </c>
      <c r="D11" s="4" t="n">
        <f aca="false">C11-B11</f>
        <v>0</v>
      </c>
      <c r="E11" s="2" t="str">
        <f aca="false">IF(ABS(D11)&lt;=0.01,"OK","CHECK")</f>
        <v>OK</v>
      </c>
    </row>
    <row r="12" customFormat="false" ht="15" hidden="false" customHeight="false" outlineLevel="0" collapsed="false">
      <c r="A12" s="2" t="s">
        <v>84</v>
      </c>
      <c r="B12" s="4" t="n">
        <v>2358.91</v>
      </c>
      <c r="C12" s="4" t="n">
        <f aca="false">ROUND(SUMIF(Transactions!$A$2:$A$95,A12,Transactions!$M$2:$M$95),2)</f>
        <v>2358.91</v>
      </c>
      <c r="D12" s="4" t="n">
        <f aca="false">C12-B12</f>
        <v>0</v>
      </c>
      <c r="E12" s="2" t="str">
        <f aca="false">IF(ABS(D12)&lt;=0.01,"OK","CHECK")</f>
        <v>OK</v>
      </c>
    </row>
    <row r="13" customFormat="false" ht="15" hidden="false" customHeight="false" outlineLevel="0" collapsed="false">
      <c r="A13" s="2" t="s">
        <v>92</v>
      </c>
      <c r="B13" s="4" t="n">
        <v>2632.24</v>
      </c>
      <c r="C13" s="4" t="n">
        <f aca="false">ROUND(SUMIF(Transactions!$A$2:$A$95,A13,Transactions!$M$2:$M$95),2)</f>
        <v>2632.24</v>
      </c>
      <c r="D13" s="4" t="n">
        <f aca="false">C13-B13</f>
        <v>0</v>
      </c>
      <c r="E13" s="2" t="str">
        <f aca="false">IF(ABS(D13)&lt;=0.01,"OK","CHECK")</f>
        <v>OK</v>
      </c>
    </row>
    <row r="14" customFormat="false" ht="15" hidden="false" customHeight="false" outlineLevel="0" collapsed="false">
      <c r="A14" s="2" t="s">
        <v>99</v>
      </c>
      <c r="B14" s="4" t="n">
        <v>1365.47</v>
      </c>
      <c r="C14" s="4" t="n">
        <f aca="false">ROUND(SUMIF(Transactions!$A$2:$A$95,A14,Transactions!$M$2:$M$95),2)</f>
        <v>1365.47</v>
      </c>
      <c r="D14" s="4" t="n">
        <f aca="false">C14-B14</f>
        <v>0</v>
      </c>
      <c r="E14" s="2" t="str">
        <f aca="false">IF(ABS(D14)&lt;=0.01,"OK","CHECK")</f>
        <v>OK</v>
      </c>
    </row>
    <row r="15" customFormat="false" ht="15" hidden="false" customHeight="false" outlineLevel="0" collapsed="false">
      <c r="A15" s="2" t="s">
        <v>103</v>
      </c>
      <c r="B15" s="4" t="n">
        <v>2531.62</v>
      </c>
      <c r="C15" s="4" t="n">
        <f aca="false">ROUND(SUMIF(Transactions!$A$2:$A$95,A15,Transactions!$M$2:$M$95),2)</f>
        <v>2531.62</v>
      </c>
      <c r="D15" s="4" t="n">
        <f aca="false">C15-B15</f>
        <v>0</v>
      </c>
      <c r="E15" s="2" t="str">
        <f aca="false">IF(ABS(D15)&lt;=0.01,"OK","CHECK")</f>
        <v>OK</v>
      </c>
    </row>
    <row r="16" customFormat="false" ht="15" hidden="false" customHeight="false" outlineLevel="0" collapsed="false">
      <c r="A16" s="2" t="s">
        <v>112</v>
      </c>
      <c r="B16" s="4" t="n">
        <v>2456.72</v>
      </c>
      <c r="C16" s="4" t="n">
        <f aca="false">ROUND(SUMIF(Transactions!$A$2:$A$95,A16,Transactions!$M$2:$M$95),2)</f>
        <v>2456.72</v>
      </c>
      <c r="D16" s="4" t="n">
        <f aca="false">C16-B16</f>
        <v>0</v>
      </c>
      <c r="E16" s="2" t="str">
        <f aca="false">IF(ABS(D16)&lt;=0.01,"OK","CHECK")</f>
        <v>OK</v>
      </c>
    </row>
    <row r="17" customFormat="false" ht="15" hidden="false" customHeight="false" outlineLevel="0" collapsed="false">
      <c r="A17" s="2" t="s">
        <v>115</v>
      </c>
      <c r="B17" s="4" t="n">
        <v>1558.89</v>
      </c>
      <c r="C17" s="4" t="n">
        <f aca="false">ROUND(SUMIF(Transactions!$A$2:$A$95,A17,Transactions!$M$2:$M$95),2)</f>
        <v>1558.89</v>
      </c>
      <c r="D17" s="4" t="n">
        <f aca="false">C17-B17</f>
        <v>0</v>
      </c>
      <c r="E17" s="2" t="str">
        <f aca="false">IF(ABS(D17)&lt;=0.01,"OK","CHECK")</f>
        <v>OK</v>
      </c>
    </row>
    <row r="18" customFormat="false" ht="15" hidden="false" customHeight="false" outlineLevel="0" collapsed="false">
      <c r="A18" s="2" t="s">
        <v>118</v>
      </c>
      <c r="B18" s="4" t="n">
        <v>1596.41</v>
      </c>
      <c r="C18" s="4" t="n">
        <f aca="false">ROUND(SUMIF(Transactions!$A$2:$A$95,A18,Transactions!$M$2:$M$95),2)</f>
        <v>1596.41</v>
      </c>
      <c r="D18" s="4" t="n">
        <f aca="false">C18-B18</f>
        <v>0</v>
      </c>
      <c r="E18" s="2" t="str">
        <f aca="false">IF(ABS(D18)&lt;=0.01,"OK","CHECK")</f>
        <v>OK</v>
      </c>
    </row>
    <row r="19" customFormat="false" ht="15" hidden="false" customHeight="false" outlineLevel="0" collapsed="false">
      <c r="A19" s="2" t="s">
        <v>124</v>
      </c>
      <c r="B19" s="4" t="n">
        <v>2826</v>
      </c>
      <c r="C19" s="4" t="n">
        <f aca="false">ROUND(SUMIF(Transactions!$A$2:$A$95,A19,Transactions!$M$2:$M$95),2)</f>
        <v>2826</v>
      </c>
      <c r="D19" s="4" t="n">
        <f aca="false">C19-B19</f>
        <v>0</v>
      </c>
      <c r="E19" s="2" t="str">
        <f aca="false">IF(ABS(D19)&lt;=0.01,"OK","CHECK")</f>
        <v>OK</v>
      </c>
    </row>
    <row r="20" customFormat="false" ht="15" hidden="false" customHeight="false" outlineLevel="0" collapsed="false">
      <c r="A20" s="2" t="s">
        <v>126</v>
      </c>
      <c r="B20" s="4" t="n">
        <v>3687.95</v>
      </c>
      <c r="C20" s="4" t="n">
        <f aca="false">ROUND(SUMIF(Transactions!$A$2:$A$95,A20,Transactions!$M$2:$M$95),2)</f>
        <v>3687.95</v>
      </c>
      <c r="D20" s="4" t="n">
        <f aca="false">C20-B20</f>
        <v>0</v>
      </c>
      <c r="E20" s="2" t="str">
        <f aca="false">IF(ABS(D20)&lt;=0.01,"OK","CHECK")</f>
        <v>OK</v>
      </c>
    </row>
    <row r="21" customFormat="false" ht="15" hidden="false" customHeight="false" outlineLevel="0" collapsed="false">
      <c r="A21" s="2" t="s">
        <v>131</v>
      </c>
      <c r="B21" s="4" t="n">
        <v>1921</v>
      </c>
      <c r="C21" s="4" t="n">
        <f aca="false">ROUND(SUMIF(Transactions!$A$2:$A$95,A21,Transactions!$M$2:$M$95),2)</f>
        <v>1921</v>
      </c>
      <c r="D21" s="4" t="n">
        <f aca="false">C21-B21</f>
        <v>0</v>
      </c>
      <c r="E21" s="2" t="str">
        <f aca="false">IF(ABS(D21)&lt;=0.01,"OK","CHECK")</f>
        <v>OK</v>
      </c>
    </row>
    <row r="22" customFormat="false" ht="15" hidden="false" customHeight="false" outlineLevel="0" collapsed="false">
      <c r="A22" s="2" t="s">
        <v>132</v>
      </c>
      <c r="B22" s="4" t="n">
        <v>1591.19</v>
      </c>
      <c r="C22" s="4" t="n">
        <f aca="false">ROUND(SUMIF(Transactions!$A$2:$A$95,A22,Transactions!$M$2:$M$95),2)</f>
        <v>1591.19</v>
      </c>
      <c r="D22" s="4" t="n">
        <f aca="false">C22-B22</f>
        <v>0</v>
      </c>
      <c r="E22" s="2" t="str">
        <f aca="false">IF(ABS(D22)&lt;=0.01,"OK","CHECK")</f>
        <v>OK</v>
      </c>
    </row>
    <row r="23" customFormat="false" ht="15" hidden="false" customHeight="false" outlineLevel="0" collapsed="false">
      <c r="A23" s="2" t="s">
        <v>136</v>
      </c>
      <c r="B23" s="4" t="n">
        <v>1411.42</v>
      </c>
      <c r="C23" s="4" t="n">
        <f aca="false">ROUND(SUMIF(Transactions!$A$2:$A$95,A23,Transactions!$M$2:$M$95),2)</f>
        <v>1411.42</v>
      </c>
      <c r="D23" s="4" t="n">
        <f aca="false">C23-B23</f>
        <v>0</v>
      </c>
      <c r="E23" s="2" t="str">
        <f aca="false">IF(ABS(D23)&lt;=0.01,"OK","CHECK")</f>
        <v>OK</v>
      </c>
    </row>
    <row r="24" customFormat="false" ht="15" hidden="false" customHeight="false" outlineLevel="0" collapsed="false">
      <c r="A24" s="2" t="s">
        <v>143</v>
      </c>
      <c r="B24" s="4" t="n">
        <v>1426.04</v>
      </c>
      <c r="C24" s="4" t="n">
        <f aca="false">ROUND(SUMIF(Transactions!$A$2:$A$95,A24,Transactions!$M$2:$M$95),2)</f>
        <v>1426.04</v>
      </c>
      <c r="D24" s="4" t="n">
        <f aca="false">C24-B24</f>
        <v>0</v>
      </c>
      <c r="E24" s="2" t="str">
        <f aca="false">IF(ABS(D24)&lt;=0.01,"OK","CHECK")</f>
        <v>OK</v>
      </c>
    </row>
    <row r="25" customFormat="false" ht="15" hidden="false" customHeight="false" outlineLevel="0" collapsed="false">
      <c r="A25" s="2" t="s">
        <v>150</v>
      </c>
      <c r="B25" s="4" t="n">
        <v>2216.86</v>
      </c>
      <c r="C25" s="4" t="n">
        <f aca="false">ROUND(SUMIF(Transactions!$A$2:$A$95,A25,Transactions!$M$2:$M$95),2)</f>
        <v>2216.86</v>
      </c>
      <c r="D25" s="4" t="n">
        <f aca="false">C25-B25</f>
        <v>0</v>
      </c>
      <c r="E25" s="2" t="str">
        <f aca="false">IF(ABS(D25)&lt;=0.01,"OK","CHECK")</f>
        <v>OK</v>
      </c>
    </row>
    <row r="26" customFormat="false" ht="15" hidden="false" customHeight="false" outlineLevel="0" collapsed="false">
      <c r="A26" s="2" t="s">
        <v>153</v>
      </c>
      <c r="B26" s="4" t="n">
        <v>802.05</v>
      </c>
      <c r="C26" s="4" t="n">
        <f aca="false">ROUND(SUMIF(Transactions!$A$2:$A$95,A26,Transactions!$M$2:$M$95),2)</f>
        <v>802.05</v>
      </c>
      <c r="D26" s="4" t="n">
        <f aca="false">C26-B26</f>
        <v>0</v>
      </c>
      <c r="E26" s="2" t="str">
        <f aca="false">IF(ABS(D26)&lt;=0.01,"OK","CHECK")</f>
        <v>OK</v>
      </c>
    </row>
    <row r="27" customFormat="false" ht="15" hidden="false" customHeight="false" outlineLevel="0" collapsed="false">
      <c r="A27" s="2" t="s">
        <v>157</v>
      </c>
      <c r="B27" s="4" t="n">
        <v>2285.86</v>
      </c>
      <c r="C27" s="4" t="n">
        <f aca="false">ROUND(SUMIF(Transactions!$A$2:$A$95,A27,Transactions!$M$2:$M$95),2)</f>
        <v>2285.86</v>
      </c>
      <c r="D27" s="4" t="n">
        <f aca="false">C27-B27</f>
        <v>0</v>
      </c>
      <c r="E27" s="2" t="str">
        <f aca="false">IF(ABS(D27)&lt;=0.01,"OK","CHECK")</f>
        <v>OK</v>
      </c>
    </row>
    <row r="28" customFormat="false" ht="15" hidden="false" customHeight="false" outlineLevel="0" collapsed="false">
      <c r="A28" s="2" t="s">
        <v>164</v>
      </c>
      <c r="B28" s="4" t="n">
        <v>2564.33</v>
      </c>
      <c r="C28" s="4" t="n">
        <f aca="false">ROUND(SUMIF(Transactions!$A$2:$A$95,A28,Transactions!$M$2:$M$95),2)</f>
        <v>2564.33</v>
      </c>
      <c r="D28" s="4" t="n">
        <f aca="false">C28-B28</f>
        <v>0</v>
      </c>
      <c r="E28" s="2" t="str">
        <f aca="false">IF(ABS(D28)&lt;=0.01,"OK","CHECK")</f>
        <v>OK</v>
      </c>
    </row>
    <row r="29" customFormat="false" ht="15" hidden="false" customHeight="false" outlineLevel="0" collapsed="false">
      <c r="A29" s="2" t="s">
        <v>170</v>
      </c>
      <c r="B29" s="4" t="n">
        <v>840.32</v>
      </c>
      <c r="C29" s="4" t="n">
        <f aca="false">ROUND(SUMIF(Transactions!$A$2:$A$95,A29,Transactions!$M$2:$M$95),2)</f>
        <v>840.32</v>
      </c>
      <c r="D29" s="4" t="n">
        <f aca="false">C29-B29</f>
        <v>0</v>
      </c>
      <c r="E29" s="2" t="str">
        <f aca="false">IF(ABS(D29)&lt;=0.01,"OK","CHECK")</f>
        <v>OK</v>
      </c>
    </row>
    <row r="30" customFormat="false" ht="15" hidden="false" customHeight="false" outlineLevel="0" collapsed="false">
      <c r="A30" s="2" t="s">
        <v>175</v>
      </c>
      <c r="B30" s="4" t="n">
        <v>2447.71</v>
      </c>
      <c r="C30" s="4" t="n">
        <f aca="false">ROUND(SUMIF(Transactions!$A$2:$A$95,A30,Transactions!$M$2:$M$95),2)</f>
        <v>2447.71</v>
      </c>
      <c r="D30" s="4" t="n">
        <f aca="false">C30-B30</f>
        <v>0</v>
      </c>
      <c r="E30" s="2" t="str">
        <f aca="false">IF(ABS(D30)&lt;=0.01,"OK","CHECK")</f>
        <v>OK</v>
      </c>
    </row>
    <row r="31" customFormat="false" ht="15" hidden="false" customHeight="false" outlineLevel="0" collapsed="false">
      <c r="A31" s="6" t="s">
        <v>180</v>
      </c>
      <c r="B31" s="7" t="n">
        <f aca="false">SUM(B2:B30)</f>
        <v>56057.99</v>
      </c>
      <c r="C31" s="7" t="n">
        <f aca="false">SUM(C2:C30)</f>
        <v>56057.99</v>
      </c>
      <c r="D31" s="6"/>
      <c r="E3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" t="s">
        <v>5</v>
      </c>
      <c r="B1" s="1" t="s">
        <v>6</v>
      </c>
      <c r="C1" s="1" t="s">
        <v>181</v>
      </c>
      <c r="D1" s="1" t="s">
        <v>182</v>
      </c>
      <c r="E1" s="1" t="s">
        <v>14</v>
      </c>
      <c r="F1" s="1" t="s">
        <v>15</v>
      </c>
      <c r="G1" s="1" t="s">
        <v>183</v>
      </c>
      <c r="H1" s="1" t="s">
        <v>184</v>
      </c>
      <c r="I1" s="1" t="s">
        <v>185</v>
      </c>
    </row>
    <row r="2" customFormat="false" ht="15" hidden="false" customHeight="false" outlineLevel="0" collapsed="false">
      <c r="A2" s="2" t="s">
        <v>106</v>
      </c>
      <c r="B2" s="2" t="n">
        <v>19</v>
      </c>
      <c r="C2" s="4" t="n">
        <v>4292.82</v>
      </c>
      <c r="D2" s="4" t="n">
        <f aca="false">ROUND(SUMIF(Transactions!$F$2:$F$95,"Germany",Transactions!$M$2:$M$95),2)</f>
        <v>4292.82</v>
      </c>
      <c r="E2" s="4" t="n">
        <f aca="false">D2-C2</f>
        <v>0</v>
      </c>
      <c r="F2" s="2" t="str">
        <f aca="false">IF(ABS(E2)&lt;=0.01,"OK","CHECK")</f>
        <v>OK</v>
      </c>
      <c r="G2" s="4" t="n">
        <v>815.63</v>
      </c>
      <c r="H2" s="4" t="n">
        <f aca="false">ROUND(D2*B2/100,2)</f>
        <v>815.64</v>
      </c>
      <c r="I2" s="4" t="n">
        <v>5108.45</v>
      </c>
    </row>
    <row r="3" customFormat="false" ht="15" hidden="false" customHeight="false" outlineLevel="0" collapsed="false">
      <c r="A3" s="2" t="s">
        <v>21</v>
      </c>
      <c r="B3" s="2" t="n">
        <v>21</v>
      </c>
      <c r="C3" s="4" t="n">
        <v>37955.7</v>
      </c>
      <c r="D3" s="4" t="n">
        <f aca="false">ROUND(SUMIF(Transactions!$F$2:$F$95,"Belgium",Transactions!$M$2:$M$95),2)</f>
        <v>37955.7</v>
      </c>
      <c r="E3" s="4" t="n">
        <f aca="false">D3-C3</f>
        <v>0</v>
      </c>
      <c r="F3" s="2" t="str">
        <f aca="false">IF(ABS(E3)&lt;=0.01,"OK","CHECK")</f>
        <v>OK</v>
      </c>
      <c r="G3" s="4" t="n">
        <v>7970.68</v>
      </c>
      <c r="H3" s="4" t="n">
        <f aca="false">ROUND(D3*B3/100,2)</f>
        <v>7970.7</v>
      </c>
      <c r="I3" s="4" t="n">
        <v>45926.38</v>
      </c>
    </row>
    <row r="4" customFormat="false" ht="15" hidden="false" customHeight="false" outlineLevel="0" collapsed="false">
      <c r="A4" s="2" t="s">
        <v>30</v>
      </c>
      <c r="B4" s="2" t="n">
        <v>20</v>
      </c>
      <c r="C4" s="4" t="n">
        <v>2922.77</v>
      </c>
      <c r="D4" s="4" t="n">
        <f aca="false">ROUND(SUMIF(Transactions!$F$2:$F$95,"France",Transactions!$M$2:$M$95),2)</f>
        <v>2922.77</v>
      </c>
      <c r="E4" s="4" t="n">
        <f aca="false">D4-C4</f>
        <v>0</v>
      </c>
      <c r="F4" s="2" t="str">
        <f aca="false">IF(ABS(E4)&lt;=0.01,"OK","CHECK")</f>
        <v>OK</v>
      </c>
      <c r="G4" s="4" t="n">
        <v>584.55</v>
      </c>
      <c r="H4" s="4" t="n">
        <f aca="false">ROUND(D4*B4/100,2)</f>
        <v>584.55</v>
      </c>
      <c r="I4" s="4" t="n">
        <v>3507.32</v>
      </c>
    </row>
    <row r="5" customFormat="false" ht="15" hidden="false" customHeight="false" outlineLevel="0" collapsed="false">
      <c r="A5" s="2" t="s">
        <v>79</v>
      </c>
      <c r="B5" s="2" t="n">
        <v>25</v>
      </c>
      <c r="C5" s="4" t="n">
        <v>3926.55</v>
      </c>
      <c r="D5" s="4" t="n">
        <f aca="false">ROUND(SUMIF(Transactions!$F$2:$F$95,"Denmark",Transactions!$M$2:$M$95),2)</f>
        <v>3926.55</v>
      </c>
      <c r="E5" s="4" t="n">
        <f aca="false">D5-C5</f>
        <v>0</v>
      </c>
      <c r="F5" s="2" t="str">
        <f aca="false">IF(ABS(E5)&lt;=0.01,"OK","CHECK")</f>
        <v>OK</v>
      </c>
      <c r="G5" s="4" t="n">
        <v>981.65</v>
      </c>
      <c r="H5" s="4" t="n">
        <f aca="false">ROUND(D5*B5/100,2)</f>
        <v>981.64</v>
      </c>
      <c r="I5" s="4" t="n">
        <v>4908.2</v>
      </c>
    </row>
    <row r="6" customFormat="false" ht="15" hidden="false" customHeight="false" outlineLevel="0" collapsed="false">
      <c r="A6" s="2" t="s">
        <v>140</v>
      </c>
      <c r="B6" s="2" t="n">
        <v>23</v>
      </c>
      <c r="C6" s="4" t="n">
        <v>47.12</v>
      </c>
      <c r="D6" s="4" t="n">
        <f aca="false">ROUND(SUMIF(Transactions!$F$2:$F$95,"Poland",Transactions!$M$2:$M$95),2)</f>
        <v>47.12</v>
      </c>
      <c r="E6" s="4" t="n">
        <f aca="false">D6-C6</f>
        <v>0</v>
      </c>
      <c r="F6" s="2" t="str">
        <f aca="false">IF(ABS(E6)&lt;=0.01,"OK","CHECK")</f>
        <v>OK</v>
      </c>
      <c r="G6" s="4" t="n">
        <v>10.84</v>
      </c>
      <c r="H6" s="4" t="n">
        <f aca="false">ROUND(D6*B6/100,2)</f>
        <v>10.84</v>
      </c>
      <c r="I6" s="4" t="n">
        <v>57.96</v>
      </c>
    </row>
    <row r="7" customFormat="false" ht="15" hidden="false" customHeight="false" outlineLevel="0" collapsed="false">
      <c r="A7" s="2" t="s">
        <v>186</v>
      </c>
      <c r="B7" s="2" t="n">
        <v>21</v>
      </c>
      <c r="C7" s="4" t="n">
        <v>155.29</v>
      </c>
      <c r="D7" s="4" t="n">
        <f aca="false">ROUND(SUMPRODUCT((Transactions!$F$2:$F$95="Spain")*(Transactions!$G$2:$G$95=21)*Transactions!$M$2:$M$95),2)</f>
        <v>155.29</v>
      </c>
      <c r="E7" s="4" t="n">
        <f aca="false">D7-C7</f>
        <v>0</v>
      </c>
      <c r="F7" s="2" t="str">
        <f aca="false">IF(ABS(E7)&lt;=0.01,"OK","CHECK")</f>
        <v>OK</v>
      </c>
      <c r="G7" s="4" t="n">
        <v>32.61</v>
      </c>
      <c r="H7" s="4" t="n">
        <f aca="false">ROUND(D7*B7/100,2)</f>
        <v>32.61</v>
      </c>
      <c r="I7" s="4"/>
    </row>
    <row r="8" customFormat="false" ht="15" hidden="false" customHeight="false" outlineLevel="0" collapsed="false">
      <c r="A8" s="2" t="s">
        <v>187</v>
      </c>
      <c r="B8" s="2" t="n">
        <v>10</v>
      </c>
      <c r="C8" s="4" t="n">
        <v>5784.8</v>
      </c>
      <c r="D8" s="4" t="n">
        <f aca="false">ROUND(SUMPRODUCT((Transactions!$F$2:$F$95="Spain")*(Transactions!$G$2:$G$95=10)*Transactions!$M$2:$M$95),2)</f>
        <v>5784.8</v>
      </c>
      <c r="E8" s="4" t="n">
        <f aca="false">D8-C8</f>
        <v>0</v>
      </c>
      <c r="F8" s="2" t="str">
        <f aca="false">IF(ABS(E8)&lt;=0.01,"OK","CHECK")</f>
        <v>OK</v>
      </c>
      <c r="G8" s="4" t="n">
        <v>578.49</v>
      </c>
      <c r="H8" s="4" t="n">
        <f aca="false">ROUND(D8*B8/100,2)</f>
        <v>578.48</v>
      </c>
      <c r="I8" s="4"/>
    </row>
    <row r="9" customFormat="false" ht="15" hidden="false" customHeight="false" outlineLevel="0" collapsed="false">
      <c r="A9" s="2" t="s">
        <v>148</v>
      </c>
      <c r="B9" s="2" t="n">
        <v>20</v>
      </c>
      <c r="C9" s="4" t="n">
        <v>972.94</v>
      </c>
      <c r="D9" s="4" t="n">
        <f aca="false">ROUND(SUMIF(Transactions!$F$2:$F$95,"Austria",Transactions!$M$2:$M$95),2)</f>
        <v>972.94</v>
      </c>
      <c r="E9" s="4" t="n">
        <f aca="false">D9-C9</f>
        <v>0</v>
      </c>
      <c r="F9" s="2" t="str">
        <f aca="false">IF(ABS(E9)&lt;=0.01,"OK","CHECK")</f>
        <v>OK</v>
      </c>
      <c r="G9" s="4" t="n">
        <v>194.59</v>
      </c>
      <c r="H9" s="4" t="n">
        <f aca="false">ROUND(D9*B9/100,2)</f>
        <v>194.59</v>
      </c>
      <c r="I9" s="4" t="n">
        <v>1167.53</v>
      </c>
    </row>
    <row r="10" customFormat="false" ht="15" hidden="false" customHeight="false" outlineLevel="0" collapsed="false">
      <c r="A10" s="6" t="s">
        <v>180</v>
      </c>
      <c r="B10" s="6"/>
      <c r="C10" s="7" t="n">
        <f aca="false">SUM(C2:C9)</f>
        <v>56057.99</v>
      </c>
      <c r="D10" s="7" t="n">
        <f aca="false">SUM(D2:D9)</f>
        <v>56057.99</v>
      </c>
      <c r="E10" s="7" t="n">
        <f aca="false">D10-C10</f>
        <v>0</v>
      </c>
      <c r="F10" s="6" t="str">
        <f aca="false">IF(ABS(E10)&lt;=0.02,"OK","CHECK")</f>
        <v>OK</v>
      </c>
      <c r="G10" s="7" t="n">
        <f aca="false">SUM(G2:G9)</f>
        <v>11169.04</v>
      </c>
      <c r="H10" s="7" t="n">
        <f aca="false">SUM(H2:H9)</f>
        <v>11169.05</v>
      </c>
      <c r="I10" s="7" t="n">
        <v>67227.03</v>
      </c>
    </row>
    <row r="12" customFormat="false" ht="15" hidden="false" customHeight="false" outlineLevel="0" collapsed="false">
      <c r="A12" s="8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7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5" t="s">
        <v>189</v>
      </c>
      <c r="B1" s="5" t="s">
        <v>190</v>
      </c>
      <c r="C1" s="5" t="s">
        <v>191</v>
      </c>
      <c r="D1" s="5" t="s">
        <v>14</v>
      </c>
      <c r="E1" s="5" t="s">
        <v>15</v>
      </c>
    </row>
    <row r="2" customFormat="false" ht="15" hidden="false" customHeight="false" outlineLevel="0" collapsed="false">
      <c r="A2" s="2" t="s">
        <v>192</v>
      </c>
      <c r="B2" s="4" t="n">
        <v>32523.14</v>
      </c>
      <c r="C2" s="4" t="n">
        <f aca="false">ROUND(SUM(Transactions!$L$2:$L$95),2)</f>
        <v>32523.14</v>
      </c>
      <c r="D2" s="4" t="n">
        <f aca="false">C2-B2</f>
        <v>0</v>
      </c>
      <c r="E2" s="2" t="str">
        <f aca="false">IF(ABS(D2)&lt;=0.01,"OK","CHECK")</f>
        <v>OK</v>
      </c>
    </row>
    <row r="3" customFormat="false" ht="15" hidden="false" customHeight="false" outlineLevel="0" collapsed="false">
      <c r="A3" s="2" t="s">
        <v>193</v>
      </c>
      <c r="B3" s="4" t="n">
        <v>56057.99</v>
      </c>
      <c r="C3" s="4" t="n">
        <f aca="false">ROUND(SUM(Transactions!$M$2:$M$95),2)</f>
        <v>56057.99</v>
      </c>
      <c r="D3" s="4" t="n">
        <f aca="false">C3-B3</f>
        <v>0</v>
      </c>
      <c r="E3" s="2" t="str">
        <f aca="false">IF(ABS(D3)&lt;=0.01,"OK","CHECK")</f>
        <v>OK</v>
      </c>
    </row>
    <row r="4" customFormat="false" ht="15" hidden="false" customHeight="false" outlineLevel="0" collapsed="false">
      <c r="A4" s="2" t="s">
        <v>194</v>
      </c>
      <c r="B4" s="4" t="n">
        <v>56057.99</v>
      </c>
      <c r="C4" s="4" t="n">
        <f aca="false">'Card totals check'!C31</f>
        <v>56057.99</v>
      </c>
      <c r="D4" s="4" t="n">
        <f aca="false">C4-B4</f>
        <v>0</v>
      </c>
      <c r="E4" s="2" t="str">
        <f aca="false">IF(ABS(D4)&lt;=0.01,"OK","CHECK")</f>
        <v>OK</v>
      </c>
    </row>
    <row r="5" customFormat="false" ht="15" hidden="false" customHeight="false" outlineLevel="0" collapsed="false">
      <c r="A5" s="2" t="s">
        <v>195</v>
      </c>
      <c r="B5" s="4" t="n">
        <v>67227.03</v>
      </c>
      <c r="C5" s="4" t="n">
        <f aca="false">ROUND('Country VAT check'!C10+'Country VAT check'!G10,2)</f>
        <v>67227.03</v>
      </c>
      <c r="D5" s="4" t="n">
        <f aca="false">C5-B5</f>
        <v>0</v>
      </c>
      <c r="E5" s="2" t="str">
        <f aca="false">IF(ABS(D5)&lt;=0.02,"OK","CHECK")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2026-06-11T04:34:00Z</dcterms:created>
  <dc:creator>openpyxl</dc:creator>
  <dc:description/>
  <dc:language>en-US</dc:language>
  <cp:lastModifiedBy/>
  <dcterms:modified xsi:type="dcterms:W3CDTF">2026-06-11T04:34:00Z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