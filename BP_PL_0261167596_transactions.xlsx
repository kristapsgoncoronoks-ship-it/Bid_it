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Card totals check" sheetId="2" state="visible" r:id="rId4"/>
    <sheet name="Invoice totals check" sheetId="3" state="visible" r:id="rId5"/>
    <sheet name="Price analysis" sheetId="4" state="visible" r:id="rId6"/>
  </sheets>
  <definedNames>
    <definedName function="false" hidden="true" localSheetId="0" name="_xlnm._FilterDatabase" vbProcedure="false">Transactions!$A$1:$P$47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<sst xmlns="http://schemas.openxmlformats.org/spreadsheetml/2006/main" count="356" uniqueCount="109">
  <si>
    <t xml:space="preserve">Lp</t>
  </si>
  <si>
    <t xml:space="preserve">Card</t>
  </si>
  <si>
    <t xml:space="preserve">Date</t>
  </si>
  <si>
    <t xml:space="preserve">Vehicle reg</t>
  </si>
  <si>
    <t xml:space="preserve">Location</t>
  </si>
  <si>
    <t xml:space="preserve">Product</t>
  </si>
  <si>
    <t xml:space="preserve">Category</t>
  </si>
  <si>
    <t xml:space="preserve">Qty (L/pcs)</t>
  </si>
  <si>
    <t xml:space="preserve">Unit net PLN (doc)</t>
  </si>
  <si>
    <t xml:space="preserve">Gross PLN</t>
  </si>
  <si>
    <t xml:space="preserve">VAT %</t>
  </si>
  <si>
    <t xml:space="preserve">VAT PLN</t>
  </si>
  <si>
    <t xml:space="preserve">Net PLN</t>
  </si>
  <si>
    <t xml:space="preserve">Check1: Net+VAT=Gross</t>
  </si>
  <si>
    <t xml:space="preserve">Check2: implied unit vs doc</t>
  </si>
  <si>
    <t xml:space="preserve">Check3: VAT = Net x rate</t>
  </si>
  <si>
    <t xml:space="preserve">000080</t>
  </si>
  <si>
    <t xml:space="preserve">27/05/26</t>
  </si>
  <si>
    <t xml:space="preserve">BE9919</t>
  </si>
  <si>
    <t xml:space="preserve">SUWALKI</t>
  </si>
  <si>
    <t xml:space="preserve">ON ACT.</t>
  </si>
  <si>
    <t xml:space="preserve">Diesel</t>
  </si>
  <si>
    <t xml:space="preserve">000122</t>
  </si>
  <si>
    <t xml:space="preserve">15/05/26</t>
  </si>
  <si>
    <t xml:space="preserve">GH9909</t>
  </si>
  <si>
    <t xml:space="preserve">ADBLUE</t>
  </si>
  <si>
    <t xml:space="preserve">AdBlue</t>
  </si>
  <si>
    <t xml:space="preserve">26/05/26</t>
  </si>
  <si>
    <t xml:space="preserve">28/05/26</t>
  </si>
  <si>
    <t xml:space="preserve">000130</t>
  </si>
  <si>
    <t xml:space="preserve">29/05/26</t>
  </si>
  <si>
    <t xml:space="preserve">GR9</t>
  </si>
  <si>
    <t xml:space="preserve">000171</t>
  </si>
  <si>
    <t xml:space="preserve">23/05/26</t>
  </si>
  <si>
    <t xml:space="preserve">KP8998</t>
  </si>
  <si>
    <t xml:space="preserve">000189</t>
  </si>
  <si>
    <t xml:space="preserve">20/05/26</t>
  </si>
  <si>
    <t xml:space="preserve">KS9339</t>
  </si>
  <si>
    <t xml:space="preserve">RADZYMIN CIEMNE</t>
  </si>
  <si>
    <t xml:space="preserve">000247</t>
  </si>
  <si>
    <t xml:space="preserve">MV5097</t>
  </si>
  <si>
    <t xml:space="preserve">000254</t>
  </si>
  <si>
    <t xml:space="preserve">16/05/26</t>
  </si>
  <si>
    <t xml:space="preserve">NI3993</t>
  </si>
  <si>
    <t xml:space="preserve">000270</t>
  </si>
  <si>
    <t xml:space="preserve">31/05/26</t>
  </si>
  <si>
    <t xml:space="preserve">NI9449</t>
  </si>
  <si>
    <t xml:space="preserve">000288</t>
  </si>
  <si>
    <t xml:space="preserve">22/05/26</t>
  </si>
  <si>
    <t xml:space="preserve">NJ959</t>
  </si>
  <si>
    <t xml:space="preserve">000296</t>
  </si>
  <si>
    <t xml:space="preserve">NL1991</t>
  </si>
  <si>
    <t xml:space="preserve">AWSA A2 - PPO L</t>
  </si>
  <si>
    <t xml:space="preserve">Toll Service</t>
  </si>
  <si>
    <t xml:space="preserve">Toll</t>
  </si>
  <si>
    <t xml:space="preserve">Oplata ORS</t>
  </si>
  <si>
    <t xml:space="preserve">Toll fee</t>
  </si>
  <si>
    <t xml:space="preserve">AWSA A2 - PPO N</t>
  </si>
  <si>
    <t xml:space="preserve">17/05/26</t>
  </si>
  <si>
    <t xml:space="preserve">AWSA A2 - SPO T</t>
  </si>
  <si>
    <t xml:space="preserve">AWSA A2 - PPO T</t>
  </si>
  <si>
    <t xml:space="preserve">AWSA A2 - PPO G</t>
  </si>
  <si>
    <t xml:space="preserve">21/05/26</t>
  </si>
  <si>
    <t xml:space="preserve">000312</t>
  </si>
  <si>
    <t xml:space="preserve">NO4994</t>
  </si>
  <si>
    <t xml:space="preserve">000346</t>
  </si>
  <si>
    <t xml:space="preserve">18/05/26</t>
  </si>
  <si>
    <t xml:space="preserve">RA99</t>
  </si>
  <si>
    <t xml:space="preserve">000361</t>
  </si>
  <si>
    <t xml:space="preserve">NI8998</t>
  </si>
  <si>
    <t xml:space="preserve">000379</t>
  </si>
  <si>
    <t xml:space="preserve">NR6247</t>
  </si>
  <si>
    <t xml:space="preserve">000403</t>
  </si>
  <si>
    <t xml:space="preserve">HC994</t>
  </si>
  <si>
    <t xml:space="preserve">000411</t>
  </si>
  <si>
    <t xml:space="preserve">HZ995</t>
  </si>
  <si>
    <t xml:space="preserve">000445</t>
  </si>
  <si>
    <t xml:space="preserve">25/05/26</t>
  </si>
  <si>
    <t xml:space="preserve">OMUSS</t>
  </si>
  <si>
    <t xml:space="preserve">000460</t>
  </si>
  <si>
    <t xml:space="preserve">LB929</t>
  </si>
  <si>
    <t xml:space="preserve">000494</t>
  </si>
  <si>
    <t xml:space="preserve">30/05/26</t>
  </si>
  <si>
    <t xml:space="preserve">ON989</t>
  </si>
  <si>
    <t xml:space="preserve">Stated gross PLN</t>
  </si>
  <si>
    <t xml:space="preserve">Calc gross</t>
  </si>
  <si>
    <t xml:space="preserve">Diff</t>
  </si>
  <si>
    <t xml:space="preserve">Check</t>
  </si>
  <si>
    <t xml:space="preserve">TOTAL</t>
  </si>
  <si>
    <t xml:space="preserve">Check item</t>
  </si>
  <si>
    <t xml:space="preserve">Invoice states</t>
  </si>
  <si>
    <t xml:space="preserve">Calculated</t>
  </si>
  <si>
    <t xml:space="preserve">Diesel (OLEJ NAPEDOWY) litres</t>
  </si>
  <si>
    <t xml:space="preserve">Diesel gross PLN</t>
  </si>
  <si>
    <t xml:space="preserve">Diesel net PLN</t>
  </si>
  <si>
    <t xml:space="preserve">AdBlue (AKCESORIA SAM.) litres</t>
  </si>
  <si>
    <t xml:space="preserve">AdBlue gross PLN</t>
  </si>
  <si>
    <t xml:space="preserve">Tolls (INNE PRODUKTY) item count</t>
  </si>
  <si>
    <t xml:space="preserve">Tolls gross PLN</t>
  </si>
  <si>
    <t xml:space="preserve">VAT 8% base (net) PLN</t>
  </si>
  <si>
    <t xml:space="preserve">VAT 8% amount PLN</t>
  </si>
  <si>
    <t xml:space="preserve">VAT 23% base (net) PLN</t>
  </si>
  <si>
    <t xml:space="preserve">VAT 23% amount PLN</t>
  </si>
  <si>
    <t xml:space="preserve">TOTAL gross PLN (amount payable)</t>
  </si>
  <si>
    <t xml:space="preserve">TOTAL VAT PLN</t>
  </si>
  <si>
    <t xml:space="preserve">TOTAL net PLN</t>
  </si>
  <si>
    <t xml:space="preserve">Diesel net unit price by date (PLN/L, rebated per invoice note)</t>
  </si>
  <si>
    <t xml:space="preserve">Litres</t>
  </si>
  <si>
    <t xml:space="preserve">Avg net PLN/L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</si>
</sst>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553E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55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5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10" min="8" style="0" width="11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n">
        <v>300</v>
      </c>
      <c r="I2" s="4" t="n">
        <v>5.59</v>
      </c>
      <c r="J2" s="3" t="n">
        <v>1812.13</v>
      </c>
      <c r="K2" s="2" t="n">
        <v>8</v>
      </c>
      <c r="L2" s="3" t="n">
        <v>134.23</v>
      </c>
      <c r="M2" s="3" t="n">
        <v>1677.9</v>
      </c>
      <c r="N2" s="2" t="str">
        <f aca="false">IF(ABS(M2+L2-J2)&lt;=0.01,"OK","CHECK")</f>
        <v>OK</v>
      </c>
      <c r="O2" s="2" t="str">
        <f aca="false">IF(ABS(M2/H2-I2)&lt;=0.005+0.01/H2,"OK","CHECK")</f>
        <v>OK</v>
      </c>
      <c r="P2" s="2" t="str">
        <f aca="false">IF(ABS(L2-ROUND(M2*K2/100,2))&lt;=0.02,"OK","CHECK")</f>
        <v>OK</v>
      </c>
    </row>
    <row r="3" customFormat="false" ht="15" hidden="false" customHeight="false" outlineLevel="0" collapsed="false">
      <c r="A3" s="2" t="n">
        <v>2</v>
      </c>
      <c r="B3" s="2" t="s">
        <v>22</v>
      </c>
      <c r="C3" s="2" t="s">
        <v>23</v>
      </c>
      <c r="D3" s="2" t="s">
        <v>24</v>
      </c>
      <c r="E3" s="2" t="s">
        <v>19</v>
      </c>
      <c r="F3" s="2" t="s">
        <v>25</v>
      </c>
      <c r="G3" s="2" t="s">
        <v>26</v>
      </c>
      <c r="H3" s="3" t="n">
        <v>20.02</v>
      </c>
      <c r="I3" s="4" t="n">
        <v>2.16</v>
      </c>
      <c r="J3" s="3" t="n">
        <v>53.11</v>
      </c>
      <c r="K3" s="2" t="n">
        <v>23</v>
      </c>
      <c r="L3" s="3" t="n">
        <v>9.93</v>
      </c>
      <c r="M3" s="3" t="n">
        <v>43.18</v>
      </c>
      <c r="N3" s="2" t="str">
        <f aca="false">IF(ABS(M3+L3-J3)&lt;=0.01,"OK","CHECK")</f>
        <v>OK</v>
      </c>
      <c r="O3" s="2" t="str">
        <f aca="false">IF(ABS(M3/H3-I3)&lt;=0.005+0.01/H3,"OK","CHECK")</f>
        <v>OK</v>
      </c>
      <c r="P3" s="2" t="str">
        <f aca="false">IF(ABS(L3-ROUND(M3*K3/100,2))&lt;=0.02,"OK","CHECK")</f>
        <v>OK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24</v>
      </c>
      <c r="E4" s="2" t="s">
        <v>19</v>
      </c>
      <c r="F4" s="2" t="s">
        <v>20</v>
      </c>
      <c r="G4" s="2" t="s">
        <v>21</v>
      </c>
      <c r="H4" s="3" t="n">
        <v>256.63</v>
      </c>
      <c r="I4" s="4" t="n">
        <v>5.82</v>
      </c>
      <c r="J4" s="3" t="n">
        <v>1612.52</v>
      </c>
      <c r="K4" s="2" t="n">
        <v>8</v>
      </c>
      <c r="L4" s="3" t="n">
        <v>119.45</v>
      </c>
      <c r="M4" s="3" t="n">
        <v>1493.07</v>
      </c>
      <c r="N4" s="2" t="str">
        <f aca="false">IF(ABS(M4+L4-J4)&lt;=0.01,"OK","CHECK")</f>
        <v>OK</v>
      </c>
      <c r="O4" s="2" t="str">
        <f aca="false">IF(ABS(M4/H4-I4)&lt;=0.005+0.01/H4,"OK","CHECK")</f>
        <v>OK</v>
      </c>
      <c r="P4" s="2" t="str">
        <f aca="false">IF(ABS(L4-ROUND(M4*K4/100,2))&lt;=0.02,"OK","CHECK")</f>
        <v>OK</v>
      </c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27</v>
      </c>
      <c r="D5" s="2" t="s">
        <v>24</v>
      </c>
      <c r="E5" s="2" t="s">
        <v>19</v>
      </c>
      <c r="F5" s="2" t="s">
        <v>25</v>
      </c>
      <c r="G5" s="2" t="s">
        <v>26</v>
      </c>
      <c r="H5" s="3" t="n">
        <v>20.02</v>
      </c>
      <c r="I5" s="4" t="n">
        <v>2.16</v>
      </c>
      <c r="J5" s="3" t="n">
        <v>53.11</v>
      </c>
      <c r="K5" s="2" t="n">
        <v>23</v>
      </c>
      <c r="L5" s="3" t="n">
        <v>9.93</v>
      </c>
      <c r="M5" s="3" t="n">
        <v>43.18</v>
      </c>
      <c r="N5" s="2" t="str">
        <f aca="false">IF(ABS(M5+L5-J5)&lt;=0.01,"OK","CHECK")</f>
        <v>OK</v>
      </c>
      <c r="O5" s="2" t="str">
        <f aca="false">IF(ABS(M5/H5-I5)&lt;=0.005+0.01/H5,"OK","CHECK")</f>
        <v>OK</v>
      </c>
      <c r="P5" s="2" t="str">
        <f aca="false">IF(ABS(L5-ROUND(M5*K5/100,2))&lt;=0.02,"OK","CHECK")</f>
        <v>OK</v>
      </c>
    </row>
    <row r="6" customFormat="false" ht="15" hidden="false" customHeight="false" outlineLevel="0" collapsed="false">
      <c r="A6" s="2" t="n">
        <v>5</v>
      </c>
      <c r="B6" s="2" t="s">
        <v>22</v>
      </c>
      <c r="C6" s="2" t="s">
        <v>28</v>
      </c>
      <c r="D6" s="2" t="s">
        <v>24</v>
      </c>
      <c r="E6" s="2" t="s">
        <v>19</v>
      </c>
      <c r="F6" s="2" t="s">
        <v>25</v>
      </c>
      <c r="G6" s="2" t="s">
        <v>26</v>
      </c>
      <c r="H6" s="3" t="n">
        <v>40.07</v>
      </c>
      <c r="I6" s="4" t="n">
        <v>2.16</v>
      </c>
      <c r="J6" s="3" t="n">
        <v>106.31</v>
      </c>
      <c r="K6" s="2" t="n">
        <v>23</v>
      </c>
      <c r="L6" s="3" t="n">
        <v>19.88</v>
      </c>
      <c r="M6" s="3" t="n">
        <v>86.43</v>
      </c>
      <c r="N6" s="2" t="str">
        <f aca="false">IF(ABS(M6+L6-J6)&lt;=0.01,"OK","CHECK")</f>
        <v>OK</v>
      </c>
      <c r="O6" s="2" t="str">
        <f aca="false">IF(ABS(M6/H6-I6)&lt;=0.005+0.01/H6,"OK","CHECK")</f>
        <v>OK</v>
      </c>
      <c r="P6" s="2" t="str">
        <f aca="false">IF(ABS(L6-ROUND(M6*K6/100,2))&lt;=0.02,"OK","CHECK")</f>
        <v>OK</v>
      </c>
    </row>
    <row r="7" customFormat="false" ht="15" hidden="false" customHeight="false" outlineLevel="0" collapsed="false">
      <c r="A7" s="2" t="n">
        <v>6</v>
      </c>
      <c r="B7" s="2" t="s">
        <v>22</v>
      </c>
      <c r="C7" s="2" t="s">
        <v>28</v>
      </c>
      <c r="D7" s="2" t="s">
        <v>24</v>
      </c>
      <c r="E7" s="2" t="s">
        <v>19</v>
      </c>
      <c r="F7" s="2" t="s">
        <v>20</v>
      </c>
      <c r="G7" s="2" t="s">
        <v>21</v>
      </c>
      <c r="H7" s="3" t="n">
        <v>110.12</v>
      </c>
      <c r="I7" s="4" t="n">
        <v>5.4</v>
      </c>
      <c r="J7" s="3" t="n">
        <v>642.1</v>
      </c>
      <c r="K7" s="2" t="n">
        <v>8</v>
      </c>
      <c r="L7" s="3" t="n">
        <v>47.56</v>
      </c>
      <c r="M7" s="3" t="n">
        <v>594.54</v>
      </c>
      <c r="N7" s="2" t="str">
        <f aca="false">IF(ABS(M7+L7-J7)&lt;=0.01,"OK","CHECK")</f>
        <v>OK</v>
      </c>
      <c r="O7" s="2" t="str">
        <f aca="false">IF(ABS(M7/H7-I7)&lt;=0.005+0.01/H7,"OK","CHECK")</f>
        <v>OK</v>
      </c>
      <c r="P7" s="2" t="str">
        <f aca="false">IF(ABS(L7-ROUND(M7*K7/100,2))&lt;=0.02,"OK","CHECK")</f>
        <v>OK</v>
      </c>
    </row>
    <row r="8" customFormat="false" ht="15" hidden="false" customHeight="false" outlineLevel="0" collapsed="false">
      <c r="A8" s="2" t="n">
        <v>7</v>
      </c>
      <c r="B8" s="2" t="s">
        <v>29</v>
      </c>
      <c r="C8" s="2" t="s">
        <v>30</v>
      </c>
      <c r="D8" s="2" t="s">
        <v>31</v>
      </c>
      <c r="E8" s="2" t="s">
        <v>19</v>
      </c>
      <c r="F8" s="2" t="s">
        <v>20</v>
      </c>
      <c r="G8" s="2" t="s">
        <v>21</v>
      </c>
      <c r="H8" s="3" t="n">
        <v>400.04</v>
      </c>
      <c r="I8" s="4" t="n">
        <v>5.38</v>
      </c>
      <c r="J8" s="3" t="n">
        <v>2323.09</v>
      </c>
      <c r="K8" s="2" t="n">
        <v>8</v>
      </c>
      <c r="L8" s="3" t="n">
        <v>172.08</v>
      </c>
      <c r="M8" s="3" t="n">
        <v>2151.01</v>
      </c>
      <c r="N8" s="2" t="str">
        <f aca="false">IF(ABS(M8+L8-J8)&lt;=0.01,"OK","CHECK")</f>
        <v>OK</v>
      </c>
      <c r="O8" s="2" t="str">
        <f aca="false">IF(ABS(M8/H8-I8)&lt;=0.005+0.01/H8,"OK","CHECK")</f>
        <v>OK</v>
      </c>
      <c r="P8" s="2" t="str">
        <f aca="false">IF(ABS(L8-ROUND(M8*K8/100,2))&lt;=0.02,"OK","CHECK")</f>
        <v>OK</v>
      </c>
    </row>
    <row r="9" customFormat="false" ht="15" hidden="false" customHeight="false" outlineLevel="0" collapsed="false">
      <c r="A9" s="2" t="n">
        <v>8</v>
      </c>
      <c r="B9" s="2" t="s">
        <v>32</v>
      </c>
      <c r="C9" s="2" t="s">
        <v>33</v>
      </c>
      <c r="D9" s="2" t="s">
        <v>34</v>
      </c>
      <c r="E9" s="2" t="s">
        <v>19</v>
      </c>
      <c r="F9" s="2" t="s">
        <v>20</v>
      </c>
      <c r="G9" s="2" t="s">
        <v>21</v>
      </c>
      <c r="H9" s="3" t="n">
        <v>800.06</v>
      </c>
      <c r="I9" s="4" t="n">
        <v>5.85</v>
      </c>
      <c r="J9" s="3" t="n">
        <v>5055.64</v>
      </c>
      <c r="K9" s="2" t="n">
        <v>8</v>
      </c>
      <c r="L9" s="3" t="n">
        <v>374.49</v>
      </c>
      <c r="M9" s="3" t="n">
        <v>4681.15</v>
      </c>
      <c r="N9" s="2" t="str">
        <f aca="false">IF(ABS(M9+L9-J9)&lt;=0.01,"OK","CHECK")</f>
        <v>OK</v>
      </c>
      <c r="O9" s="2" t="str">
        <f aca="false">IF(ABS(M9/H9-I9)&lt;=0.005+0.01/H9,"OK","CHECK")</f>
        <v>OK</v>
      </c>
      <c r="P9" s="2" t="str">
        <f aca="false">IF(ABS(L9-ROUND(M9*K9/100,2))&lt;=0.02,"OK","CHECK")</f>
        <v>OK</v>
      </c>
    </row>
    <row r="10" customFormat="false" ht="15" hidden="false" customHeight="false" outlineLevel="0" collapsed="false">
      <c r="A10" s="2" t="n">
        <v>9</v>
      </c>
      <c r="B10" s="2" t="s">
        <v>32</v>
      </c>
      <c r="C10" s="2" t="s">
        <v>28</v>
      </c>
      <c r="D10" s="2" t="s">
        <v>34</v>
      </c>
      <c r="E10" s="2" t="s">
        <v>19</v>
      </c>
      <c r="F10" s="2" t="s">
        <v>20</v>
      </c>
      <c r="G10" s="2" t="s">
        <v>21</v>
      </c>
      <c r="H10" s="3" t="n">
        <v>568.72</v>
      </c>
      <c r="I10" s="4" t="n">
        <v>5.4</v>
      </c>
      <c r="J10" s="3" t="n">
        <v>3316.16</v>
      </c>
      <c r="K10" s="2" t="n">
        <v>8</v>
      </c>
      <c r="L10" s="3" t="n">
        <v>245.64</v>
      </c>
      <c r="M10" s="3" t="n">
        <v>3070.52</v>
      </c>
      <c r="N10" s="2" t="str">
        <f aca="false">IF(ABS(M10+L10-J10)&lt;=0.01,"OK","CHECK")</f>
        <v>OK</v>
      </c>
      <c r="O10" s="2" t="str">
        <f aca="false">IF(ABS(M10/H10-I10)&lt;=0.005+0.01/H10,"OK","CHECK")</f>
        <v>OK</v>
      </c>
      <c r="P10" s="2" t="str">
        <f aca="false">IF(ABS(L10-ROUND(M10*K10/100,2))&lt;=0.02,"OK","CHECK")</f>
        <v>OK</v>
      </c>
    </row>
    <row r="11" customFormat="false" ht="15" hidden="false" customHeight="false" outlineLevel="0" collapsed="false">
      <c r="A11" s="2" t="n">
        <v>10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20</v>
      </c>
      <c r="G11" s="2" t="s">
        <v>21</v>
      </c>
      <c r="H11" s="3" t="n">
        <v>550</v>
      </c>
      <c r="I11" s="4" t="n">
        <v>5.92</v>
      </c>
      <c r="J11" s="3" t="n">
        <v>3514.1</v>
      </c>
      <c r="K11" s="2" t="n">
        <v>8</v>
      </c>
      <c r="L11" s="3" t="n">
        <v>260.3</v>
      </c>
      <c r="M11" s="3" t="n">
        <v>3253.8</v>
      </c>
      <c r="N11" s="2" t="str">
        <f aca="false">IF(ABS(M11+L11-J11)&lt;=0.01,"OK","CHECK")</f>
        <v>OK</v>
      </c>
      <c r="O11" s="2" t="str">
        <f aca="false">IF(ABS(M11/H11-I11)&lt;=0.005+0.01/H11,"OK","CHECK")</f>
        <v>OK</v>
      </c>
      <c r="P11" s="2" t="str">
        <f aca="false">IF(ABS(L11-ROUND(M11*K11/100,2))&lt;=0.02,"OK","CHECK")</f>
        <v>OK</v>
      </c>
    </row>
    <row r="12" customFormat="false" ht="15" hidden="false" customHeight="false" outlineLevel="0" collapsed="false">
      <c r="A12" s="2" t="n">
        <v>11</v>
      </c>
      <c r="B12" s="2" t="s">
        <v>39</v>
      </c>
      <c r="C12" s="2" t="s">
        <v>33</v>
      </c>
      <c r="D12" s="2" t="s">
        <v>40</v>
      </c>
      <c r="E12" s="2" t="s">
        <v>19</v>
      </c>
      <c r="F12" s="2" t="s">
        <v>20</v>
      </c>
      <c r="G12" s="2" t="s">
        <v>21</v>
      </c>
      <c r="H12" s="3" t="n">
        <v>723.73</v>
      </c>
      <c r="I12" s="4" t="n">
        <v>5.85</v>
      </c>
      <c r="J12" s="3" t="n">
        <v>4573.3</v>
      </c>
      <c r="K12" s="2" t="n">
        <v>8</v>
      </c>
      <c r="L12" s="3" t="n">
        <v>338.76</v>
      </c>
      <c r="M12" s="3" t="n">
        <v>4234.54</v>
      </c>
      <c r="N12" s="2" t="str">
        <f aca="false">IF(ABS(M12+L12-J12)&lt;=0.01,"OK","CHECK")</f>
        <v>OK</v>
      </c>
      <c r="O12" s="2" t="str">
        <f aca="false">IF(ABS(M12/H12-I12)&lt;=0.005+0.01/H12,"OK","CHECK")</f>
        <v>OK</v>
      </c>
      <c r="P12" s="2" t="str">
        <f aca="false">IF(ABS(L12-ROUND(M12*K12/100,2))&lt;=0.02,"OK","CHECK")</f>
        <v>OK</v>
      </c>
    </row>
    <row r="13" customFormat="false" ht="15" hidden="false" customHeight="false" outlineLevel="0" collapsed="false">
      <c r="A13" s="2" t="n">
        <v>12</v>
      </c>
      <c r="B13" s="2" t="s">
        <v>39</v>
      </c>
      <c r="C13" s="2" t="s">
        <v>33</v>
      </c>
      <c r="D13" s="2" t="s">
        <v>40</v>
      </c>
      <c r="E13" s="2" t="s">
        <v>19</v>
      </c>
      <c r="F13" s="2" t="s">
        <v>20</v>
      </c>
      <c r="G13" s="2" t="s">
        <v>21</v>
      </c>
      <c r="H13" s="3" t="n">
        <v>366.56</v>
      </c>
      <c r="I13" s="4" t="n">
        <v>5.85</v>
      </c>
      <c r="J13" s="3" t="n">
        <v>2316.32</v>
      </c>
      <c r="K13" s="2" t="n">
        <v>8</v>
      </c>
      <c r="L13" s="3" t="n">
        <v>171.58</v>
      </c>
      <c r="M13" s="3" t="n">
        <v>2144.74</v>
      </c>
      <c r="N13" s="2" t="str">
        <f aca="false">IF(ABS(M13+L13-J13)&lt;=0.01,"OK","CHECK")</f>
        <v>OK</v>
      </c>
      <c r="O13" s="2" t="str">
        <f aca="false">IF(ABS(M13/H13-I13)&lt;=0.005+0.01/H13,"OK","CHECK")</f>
        <v>OK</v>
      </c>
      <c r="P13" s="2" t="str">
        <f aca="false">IF(ABS(L13-ROUND(M13*K13/100,2))&lt;=0.02,"OK","CHECK")</f>
        <v>OK</v>
      </c>
    </row>
    <row r="14" customFormat="false" ht="15" hidden="false" customHeight="false" outlineLevel="0" collapsed="false">
      <c r="A14" s="2" t="n">
        <v>13</v>
      </c>
      <c r="B14" s="2" t="s">
        <v>41</v>
      </c>
      <c r="C14" s="2" t="s">
        <v>42</v>
      </c>
      <c r="D14" s="2" t="s">
        <v>43</v>
      </c>
      <c r="E14" s="2" t="s">
        <v>19</v>
      </c>
      <c r="F14" s="2" t="s">
        <v>20</v>
      </c>
      <c r="G14" s="2" t="s">
        <v>21</v>
      </c>
      <c r="H14" s="3" t="n">
        <v>620</v>
      </c>
      <c r="I14" s="4" t="n">
        <v>5.82</v>
      </c>
      <c r="J14" s="3" t="n">
        <v>3895.73</v>
      </c>
      <c r="K14" s="2" t="n">
        <v>8</v>
      </c>
      <c r="L14" s="3" t="n">
        <v>288.57</v>
      </c>
      <c r="M14" s="3" t="n">
        <v>3607.16</v>
      </c>
      <c r="N14" s="2" t="str">
        <f aca="false">IF(ABS(M14+L14-J14)&lt;=0.01,"OK","CHECK")</f>
        <v>OK</v>
      </c>
      <c r="O14" s="2" t="str">
        <f aca="false">IF(ABS(M14/H14-I14)&lt;=0.005+0.01/H14,"OK","CHECK")</f>
        <v>OK</v>
      </c>
      <c r="P14" s="2" t="str">
        <f aca="false">IF(ABS(L14-ROUND(M14*K14/100,2))&lt;=0.02,"OK","CHECK")</f>
        <v>OK</v>
      </c>
    </row>
    <row r="15" customFormat="false" ht="15" hidden="false" customHeight="false" outlineLevel="0" collapsed="false">
      <c r="A15" s="2" t="n">
        <v>14</v>
      </c>
      <c r="B15" s="2" t="s">
        <v>44</v>
      </c>
      <c r="C15" s="2" t="s">
        <v>45</v>
      </c>
      <c r="D15" s="2" t="s">
        <v>46</v>
      </c>
      <c r="E15" s="2" t="s">
        <v>19</v>
      </c>
      <c r="F15" s="2" t="s">
        <v>20</v>
      </c>
      <c r="G15" s="2" t="s">
        <v>21</v>
      </c>
      <c r="H15" s="3" t="n">
        <v>770</v>
      </c>
      <c r="I15" s="4" t="n">
        <v>5.38</v>
      </c>
      <c r="J15" s="3" t="n">
        <v>4471.51</v>
      </c>
      <c r="K15" s="2" t="n">
        <v>8</v>
      </c>
      <c r="L15" s="3" t="n">
        <v>331.22</v>
      </c>
      <c r="M15" s="3" t="n">
        <v>4140.29</v>
      </c>
      <c r="N15" s="2" t="str">
        <f aca="false">IF(ABS(M15+L15-J15)&lt;=0.01,"OK","CHECK")</f>
        <v>OK</v>
      </c>
      <c r="O15" s="2" t="str">
        <f aca="false">IF(ABS(M15/H15-I15)&lt;=0.005+0.01/H15,"OK","CHECK")</f>
        <v>OK</v>
      </c>
      <c r="P15" s="2" t="str">
        <f aca="false">IF(ABS(L15-ROUND(M15*K15/100,2))&lt;=0.02,"OK","CHECK")</f>
        <v>OK</v>
      </c>
    </row>
    <row r="16" customFormat="false" ht="15" hidden="false" customHeight="false" outlineLevel="0" collapsed="false">
      <c r="A16" s="2" t="n">
        <v>15</v>
      </c>
      <c r="B16" s="2" t="s">
        <v>47</v>
      </c>
      <c r="C16" s="2" t="s">
        <v>48</v>
      </c>
      <c r="D16" s="2" t="s">
        <v>49</v>
      </c>
      <c r="E16" s="2" t="s">
        <v>19</v>
      </c>
      <c r="F16" s="2" t="s">
        <v>20</v>
      </c>
      <c r="G16" s="2" t="s">
        <v>21</v>
      </c>
      <c r="H16" s="3" t="n">
        <v>670.01</v>
      </c>
      <c r="I16" s="4" t="n">
        <v>5.85</v>
      </c>
      <c r="J16" s="3" t="n">
        <v>4233.85</v>
      </c>
      <c r="K16" s="2" t="n">
        <v>8</v>
      </c>
      <c r="L16" s="3" t="n">
        <v>313.62</v>
      </c>
      <c r="M16" s="3" t="n">
        <v>3920.23</v>
      </c>
      <c r="N16" s="2" t="str">
        <f aca="false">IF(ABS(M16+L16-J16)&lt;=0.01,"OK","CHECK")</f>
        <v>OK</v>
      </c>
      <c r="O16" s="2" t="str">
        <f aca="false">IF(ABS(M16/H16-I16)&lt;=0.005+0.01/H16,"OK","CHECK")</f>
        <v>OK</v>
      </c>
      <c r="P16" s="2" t="str">
        <f aca="false">IF(ABS(L16-ROUND(M16*K16/100,2))&lt;=0.02,"OK","CHECK")</f>
        <v>OK</v>
      </c>
    </row>
    <row r="17" customFormat="false" ht="15" hidden="false" customHeight="false" outlineLevel="0" collapsed="false">
      <c r="A17" s="2" t="n">
        <v>16</v>
      </c>
      <c r="B17" s="2" t="s">
        <v>50</v>
      </c>
      <c r="C17" s="2" t="s">
        <v>42</v>
      </c>
      <c r="D17" s="2" t="s">
        <v>51</v>
      </c>
      <c r="E17" s="2" t="s">
        <v>52</v>
      </c>
      <c r="F17" s="2" t="s">
        <v>53</v>
      </c>
      <c r="G17" s="2" t="s">
        <v>54</v>
      </c>
      <c r="H17" s="3" t="n">
        <v>1</v>
      </c>
      <c r="I17" s="4" t="n">
        <v>130.08</v>
      </c>
      <c r="J17" s="3" t="n">
        <v>160</v>
      </c>
      <c r="K17" s="2" t="n">
        <v>23</v>
      </c>
      <c r="L17" s="3" t="n">
        <v>29.92</v>
      </c>
      <c r="M17" s="3" t="n">
        <v>130.08</v>
      </c>
      <c r="N17" s="2" t="str">
        <f aca="false">IF(ABS(M17+L17-J17)&lt;=0.01,"OK","CHECK")</f>
        <v>OK</v>
      </c>
      <c r="O17" s="2" t="str">
        <f aca="false">IF(ABS(M17/H17-I17)&lt;=0.005+0.01/H17,"OK","CHECK")</f>
        <v>OK</v>
      </c>
      <c r="P17" s="2" t="str">
        <f aca="false">IF(ABS(L17-ROUND(M17*K17/100,2))&lt;=0.02,"OK","CHECK")</f>
        <v>OK</v>
      </c>
    </row>
    <row r="18" customFormat="false" ht="15" hidden="false" customHeight="false" outlineLevel="0" collapsed="false">
      <c r="A18" s="2" t="n">
        <v>17</v>
      </c>
      <c r="B18" s="2" t="s">
        <v>50</v>
      </c>
      <c r="C18" s="2" t="s">
        <v>42</v>
      </c>
      <c r="D18" s="2" t="s">
        <v>51</v>
      </c>
      <c r="E18" s="2" t="s">
        <v>52</v>
      </c>
      <c r="F18" s="2" t="s">
        <v>55</v>
      </c>
      <c r="G18" s="2" t="s">
        <v>56</v>
      </c>
      <c r="H18" s="3" t="n">
        <v>1</v>
      </c>
      <c r="I18" s="4" t="n">
        <v>3.25</v>
      </c>
      <c r="J18" s="3" t="n">
        <v>4</v>
      </c>
      <c r="K18" s="2" t="n">
        <v>23</v>
      </c>
      <c r="L18" s="3" t="n">
        <v>0.75</v>
      </c>
      <c r="M18" s="3" t="n">
        <v>3.25</v>
      </c>
      <c r="N18" s="2" t="str">
        <f aca="false">IF(ABS(M18+L18-J18)&lt;=0.01,"OK","CHECK")</f>
        <v>OK</v>
      </c>
      <c r="O18" s="2" t="str">
        <f aca="false">IF(ABS(M18/H18-I18)&lt;=0.005+0.01/H18,"OK","CHECK")</f>
        <v>OK</v>
      </c>
      <c r="P18" s="2" t="str">
        <f aca="false">IF(ABS(L18-ROUND(M18*K18/100,2))&lt;=0.02,"OK","CHECK")</f>
        <v>OK</v>
      </c>
    </row>
    <row r="19" customFormat="false" ht="15" hidden="false" customHeight="false" outlineLevel="0" collapsed="false">
      <c r="A19" s="2" t="n">
        <v>18</v>
      </c>
      <c r="B19" s="2" t="s">
        <v>50</v>
      </c>
      <c r="C19" s="2" t="s">
        <v>42</v>
      </c>
      <c r="D19" s="2" t="s">
        <v>51</v>
      </c>
      <c r="E19" s="2" t="s">
        <v>57</v>
      </c>
      <c r="F19" s="2" t="s">
        <v>53</v>
      </c>
      <c r="G19" s="2" t="s">
        <v>54</v>
      </c>
      <c r="H19" s="3" t="n">
        <v>1</v>
      </c>
      <c r="I19" s="4" t="n">
        <v>130.08</v>
      </c>
      <c r="J19" s="3" t="n">
        <v>160</v>
      </c>
      <c r="K19" s="2" t="n">
        <v>23</v>
      </c>
      <c r="L19" s="3" t="n">
        <v>29.92</v>
      </c>
      <c r="M19" s="3" t="n">
        <v>130.08</v>
      </c>
      <c r="N19" s="2" t="str">
        <f aca="false">IF(ABS(M19+L19-J19)&lt;=0.01,"OK","CHECK")</f>
        <v>OK</v>
      </c>
      <c r="O19" s="2" t="str">
        <f aca="false">IF(ABS(M19/H19-I19)&lt;=0.005+0.01/H19,"OK","CHECK")</f>
        <v>OK</v>
      </c>
      <c r="P19" s="2" t="str">
        <f aca="false">IF(ABS(L19-ROUND(M19*K19/100,2))&lt;=0.02,"OK","CHECK")</f>
        <v>OK</v>
      </c>
    </row>
    <row r="20" customFormat="false" ht="15" hidden="false" customHeight="false" outlineLevel="0" collapsed="false">
      <c r="A20" s="2" t="n">
        <v>19</v>
      </c>
      <c r="B20" s="2" t="s">
        <v>50</v>
      </c>
      <c r="C20" s="2" t="s">
        <v>42</v>
      </c>
      <c r="D20" s="2" t="s">
        <v>51</v>
      </c>
      <c r="E20" s="2" t="s">
        <v>57</v>
      </c>
      <c r="F20" s="2" t="s">
        <v>55</v>
      </c>
      <c r="G20" s="2" t="s">
        <v>56</v>
      </c>
      <c r="H20" s="3" t="n">
        <v>1</v>
      </c>
      <c r="I20" s="4" t="n">
        <v>3.25</v>
      </c>
      <c r="J20" s="3" t="n">
        <v>4</v>
      </c>
      <c r="K20" s="2" t="n">
        <v>23</v>
      </c>
      <c r="L20" s="3" t="n">
        <v>0.75</v>
      </c>
      <c r="M20" s="3" t="n">
        <v>3.25</v>
      </c>
      <c r="N20" s="2" t="str">
        <f aca="false">IF(ABS(M20+L20-J20)&lt;=0.01,"OK","CHECK")</f>
        <v>OK</v>
      </c>
      <c r="O20" s="2" t="str">
        <f aca="false">IF(ABS(M20/H20-I20)&lt;=0.005+0.01/H20,"OK","CHECK")</f>
        <v>OK</v>
      </c>
      <c r="P20" s="2" t="str">
        <f aca="false">IF(ABS(L20-ROUND(M20*K20/100,2))&lt;=0.02,"OK","CHECK")</f>
        <v>OK</v>
      </c>
    </row>
    <row r="21" customFormat="false" ht="15" hidden="false" customHeight="false" outlineLevel="0" collapsed="false">
      <c r="A21" s="2" t="n">
        <v>20</v>
      </c>
      <c r="B21" s="2" t="s">
        <v>50</v>
      </c>
      <c r="C21" s="2" t="s">
        <v>58</v>
      </c>
      <c r="D21" s="2" t="s">
        <v>51</v>
      </c>
      <c r="E21" s="2" t="s">
        <v>59</v>
      </c>
      <c r="F21" s="2" t="s">
        <v>53</v>
      </c>
      <c r="G21" s="2" t="s">
        <v>54</v>
      </c>
      <c r="H21" s="3" t="n">
        <v>1</v>
      </c>
      <c r="I21" s="4" t="n">
        <v>156.91</v>
      </c>
      <c r="J21" s="3" t="n">
        <v>193</v>
      </c>
      <c r="K21" s="2" t="n">
        <v>23</v>
      </c>
      <c r="L21" s="3" t="n">
        <v>36.09</v>
      </c>
      <c r="M21" s="3" t="n">
        <v>156.91</v>
      </c>
      <c r="N21" s="2" t="str">
        <f aca="false">IF(ABS(M21+L21-J21)&lt;=0.01,"OK","CHECK")</f>
        <v>OK</v>
      </c>
      <c r="O21" s="2" t="str">
        <f aca="false">IF(ABS(M21/H21-I21)&lt;=0.005+0.01/H21,"OK","CHECK")</f>
        <v>OK</v>
      </c>
      <c r="P21" s="2" t="str">
        <f aca="false">IF(ABS(L21-ROUND(M21*K21/100,2))&lt;=0.02,"OK","CHECK")</f>
        <v>OK</v>
      </c>
    </row>
    <row r="22" customFormat="false" ht="15" hidden="false" customHeight="false" outlineLevel="0" collapsed="false">
      <c r="A22" s="2" t="n">
        <v>21</v>
      </c>
      <c r="B22" s="2" t="s">
        <v>50</v>
      </c>
      <c r="C22" s="2" t="s">
        <v>58</v>
      </c>
      <c r="D22" s="2" t="s">
        <v>51</v>
      </c>
      <c r="E22" s="2" t="s">
        <v>59</v>
      </c>
      <c r="F22" s="2" t="s">
        <v>55</v>
      </c>
      <c r="G22" s="2" t="s">
        <v>56</v>
      </c>
      <c r="H22" s="3" t="n">
        <v>1</v>
      </c>
      <c r="I22" s="4" t="n">
        <v>3.92</v>
      </c>
      <c r="J22" s="3" t="n">
        <v>4.82</v>
      </c>
      <c r="K22" s="2" t="n">
        <v>23</v>
      </c>
      <c r="L22" s="3" t="n">
        <v>0.9</v>
      </c>
      <c r="M22" s="3" t="n">
        <v>3.92</v>
      </c>
      <c r="N22" s="2" t="str">
        <f aca="false">IF(ABS(M22+L22-J22)&lt;=0.01,"OK","CHECK")</f>
        <v>OK</v>
      </c>
      <c r="O22" s="2" t="str">
        <f aca="false">IF(ABS(M22/H22-I22)&lt;=0.005+0.01/H22,"OK","CHECK")</f>
        <v>OK</v>
      </c>
      <c r="P22" s="2" t="str">
        <f aca="false">IF(ABS(L22-ROUND(M22*K22/100,2))&lt;=0.02,"OK","CHECK")</f>
        <v>OK</v>
      </c>
    </row>
    <row r="23" customFormat="false" ht="15" hidden="false" customHeight="false" outlineLevel="0" collapsed="false">
      <c r="A23" s="2" t="n">
        <v>22</v>
      </c>
      <c r="B23" s="2" t="s">
        <v>50</v>
      </c>
      <c r="C23" s="2" t="s">
        <v>58</v>
      </c>
      <c r="D23" s="2" t="s">
        <v>51</v>
      </c>
      <c r="E23" s="2" t="s">
        <v>60</v>
      </c>
      <c r="F23" s="2" t="s">
        <v>53</v>
      </c>
      <c r="G23" s="2" t="s">
        <v>54</v>
      </c>
      <c r="H23" s="3" t="n">
        <v>1</v>
      </c>
      <c r="I23" s="4" t="n">
        <v>5.69</v>
      </c>
      <c r="J23" s="3" t="n">
        <v>7</v>
      </c>
      <c r="K23" s="2" t="n">
        <v>23</v>
      </c>
      <c r="L23" s="3" t="n">
        <v>1.31</v>
      </c>
      <c r="M23" s="3" t="n">
        <v>5.69</v>
      </c>
      <c r="N23" s="2" t="str">
        <f aca="false">IF(ABS(M23+L23-J23)&lt;=0.01,"OK","CHECK")</f>
        <v>OK</v>
      </c>
      <c r="O23" s="2" t="str">
        <f aca="false">IF(ABS(M23/H23-I23)&lt;=0.005+0.01/H23,"OK","CHECK")</f>
        <v>OK</v>
      </c>
      <c r="P23" s="2" t="str">
        <f aca="false">IF(ABS(L23-ROUND(M23*K23/100,2))&lt;=0.02,"OK","CHECK")</f>
        <v>OK</v>
      </c>
    </row>
    <row r="24" customFormat="false" ht="15" hidden="false" customHeight="false" outlineLevel="0" collapsed="false">
      <c r="A24" s="2" t="n">
        <v>23</v>
      </c>
      <c r="B24" s="2" t="s">
        <v>50</v>
      </c>
      <c r="C24" s="2" t="s">
        <v>58</v>
      </c>
      <c r="D24" s="2" t="s">
        <v>51</v>
      </c>
      <c r="E24" s="2" t="s">
        <v>60</v>
      </c>
      <c r="F24" s="2" t="s">
        <v>55</v>
      </c>
      <c r="G24" s="2" t="s">
        <v>56</v>
      </c>
      <c r="H24" s="3" t="n">
        <v>1</v>
      </c>
      <c r="I24" s="4" t="n">
        <v>0.14</v>
      </c>
      <c r="J24" s="3" t="n">
        <v>0.17</v>
      </c>
      <c r="K24" s="2" t="n">
        <v>23</v>
      </c>
      <c r="L24" s="3" t="n">
        <v>0.03</v>
      </c>
      <c r="M24" s="3" t="n">
        <v>0.14</v>
      </c>
      <c r="N24" s="2" t="str">
        <f aca="false">IF(ABS(M24+L24-J24)&lt;=0.01,"OK","CHECK")</f>
        <v>OK</v>
      </c>
      <c r="O24" s="2" t="str">
        <f aca="false">IF(ABS(M24/H24-I24)&lt;=0.005+0.01/H24,"OK","CHECK")</f>
        <v>OK</v>
      </c>
      <c r="P24" s="2" t="str">
        <f aca="false">IF(ABS(L24-ROUND(M24*K24/100,2))&lt;=0.02,"OK","CHECK")</f>
        <v>OK</v>
      </c>
    </row>
    <row r="25" customFormat="false" ht="15" hidden="false" customHeight="false" outlineLevel="0" collapsed="false">
      <c r="A25" s="2" t="n">
        <v>24</v>
      </c>
      <c r="B25" s="2" t="s">
        <v>50</v>
      </c>
      <c r="C25" s="2" t="s">
        <v>36</v>
      </c>
      <c r="D25" s="2" t="s">
        <v>51</v>
      </c>
      <c r="E25" s="2" t="s">
        <v>61</v>
      </c>
      <c r="F25" s="2" t="s">
        <v>53</v>
      </c>
      <c r="G25" s="2" t="s">
        <v>54</v>
      </c>
      <c r="H25" s="3" t="n">
        <v>1</v>
      </c>
      <c r="I25" s="4" t="n">
        <v>156.91</v>
      </c>
      <c r="J25" s="3" t="n">
        <v>193</v>
      </c>
      <c r="K25" s="2" t="n">
        <v>23</v>
      </c>
      <c r="L25" s="3" t="n">
        <v>36.09</v>
      </c>
      <c r="M25" s="3" t="n">
        <v>156.91</v>
      </c>
      <c r="N25" s="2" t="str">
        <f aca="false">IF(ABS(M25+L25-J25)&lt;=0.01,"OK","CHECK")</f>
        <v>OK</v>
      </c>
      <c r="O25" s="2" t="str">
        <f aca="false">IF(ABS(M25/H25-I25)&lt;=0.005+0.01/H25,"OK","CHECK")</f>
        <v>OK</v>
      </c>
      <c r="P25" s="2" t="str">
        <f aca="false">IF(ABS(L25-ROUND(M25*K25/100,2))&lt;=0.02,"OK","CHECK")</f>
        <v>OK</v>
      </c>
    </row>
    <row r="26" customFormat="false" ht="15" hidden="false" customHeight="false" outlineLevel="0" collapsed="false">
      <c r="A26" s="2" t="n">
        <v>25</v>
      </c>
      <c r="B26" s="2" t="s">
        <v>50</v>
      </c>
      <c r="C26" s="2" t="s">
        <v>36</v>
      </c>
      <c r="D26" s="2" t="s">
        <v>51</v>
      </c>
      <c r="E26" s="2" t="s">
        <v>61</v>
      </c>
      <c r="F26" s="2" t="s">
        <v>55</v>
      </c>
      <c r="G26" s="2" t="s">
        <v>56</v>
      </c>
      <c r="H26" s="3" t="n">
        <v>1</v>
      </c>
      <c r="I26" s="4" t="n">
        <v>3.92</v>
      </c>
      <c r="J26" s="3" t="n">
        <v>4.82</v>
      </c>
      <c r="K26" s="2" t="n">
        <v>23</v>
      </c>
      <c r="L26" s="3" t="n">
        <v>0.9</v>
      </c>
      <c r="M26" s="3" t="n">
        <v>3.92</v>
      </c>
      <c r="N26" s="2" t="str">
        <f aca="false">IF(ABS(M26+L26-J26)&lt;=0.01,"OK","CHECK")</f>
        <v>OK</v>
      </c>
      <c r="O26" s="2" t="str">
        <f aca="false">IF(ABS(M26/H26-I26)&lt;=0.005+0.01/H26,"OK","CHECK")</f>
        <v>OK</v>
      </c>
      <c r="P26" s="2" t="str">
        <f aca="false">IF(ABS(L26-ROUND(M26*K26/100,2))&lt;=0.02,"OK","CHECK")</f>
        <v>OK</v>
      </c>
    </row>
    <row r="27" customFormat="false" ht="15" hidden="false" customHeight="false" outlineLevel="0" collapsed="false">
      <c r="A27" s="2" t="n">
        <v>26</v>
      </c>
      <c r="B27" s="2" t="s">
        <v>50</v>
      </c>
      <c r="C27" s="2" t="s">
        <v>36</v>
      </c>
      <c r="D27" s="2" t="s">
        <v>51</v>
      </c>
      <c r="E27" s="2" t="s">
        <v>59</v>
      </c>
      <c r="F27" s="2" t="s">
        <v>53</v>
      </c>
      <c r="G27" s="2" t="s">
        <v>54</v>
      </c>
      <c r="H27" s="3" t="n">
        <v>1</v>
      </c>
      <c r="I27" s="4" t="n">
        <v>5.69</v>
      </c>
      <c r="J27" s="3" t="n">
        <v>7</v>
      </c>
      <c r="K27" s="2" t="n">
        <v>23</v>
      </c>
      <c r="L27" s="3" t="n">
        <v>1.31</v>
      </c>
      <c r="M27" s="3" t="n">
        <v>5.69</v>
      </c>
      <c r="N27" s="2" t="str">
        <f aca="false">IF(ABS(M27+L27-J27)&lt;=0.01,"OK","CHECK")</f>
        <v>OK</v>
      </c>
      <c r="O27" s="2" t="str">
        <f aca="false">IF(ABS(M27/H27-I27)&lt;=0.005+0.01/H27,"OK","CHECK")</f>
        <v>OK</v>
      </c>
      <c r="P27" s="2" t="str">
        <f aca="false">IF(ABS(L27-ROUND(M27*K27/100,2))&lt;=0.02,"OK","CHECK")</f>
        <v>OK</v>
      </c>
    </row>
    <row r="28" customFormat="false" ht="15" hidden="false" customHeight="false" outlineLevel="0" collapsed="false">
      <c r="A28" s="2" t="n">
        <v>27</v>
      </c>
      <c r="B28" s="2" t="s">
        <v>50</v>
      </c>
      <c r="C28" s="2" t="s">
        <v>36</v>
      </c>
      <c r="D28" s="2" t="s">
        <v>51</v>
      </c>
      <c r="E28" s="2" t="s">
        <v>59</v>
      </c>
      <c r="F28" s="2" t="s">
        <v>55</v>
      </c>
      <c r="G28" s="2" t="s">
        <v>56</v>
      </c>
      <c r="H28" s="3" t="n">
        <v>1</v>
      </c>
      <c r="I28" s="4" t="n">
        <v>0.14</v>
      </c>
      <c r="J28" s="3" t="n">
        <v>0.17</v>
      </c>
      <c r="K28" s="2" t="n">
        <v>23</v>
      </c>
      <c r="L28" s="3" t="n">
        <v>0.03</v>
      </c>
      <c r="M28" s="3" t="n">
        <v>0.14</v>
      </c>
      <c r="N28" s="2" t="str">
        <f aca="false">IF(ABS(M28+L28-J28)&lt;=0.01,"OK","CHECK")</f>
        <v>OK</v>
      </c>
      <c r="O28" s="2" t="str">
        <f aca="false">IF(ABS(M28/H28-I28)&lt;=0.005+0.01/H28,"OK","CHECK")</f>
        <v>OK</v>
      </c>
      <c r="P28" s="2" t="str">
        <f aca="false">IF(ABS(L28-ROUND(M28*K28/100,2))&lt;=0.02,"OK","CHECK")</f>
        <v>OK</v>
      </c>
    </row>
    <row r="29" customFormat="false" ht="15" hidden="false" customHeight="false" outlineLevel="0" collapsed="false">
      <c r="A29" s="2" t="n">
        <v>28</v>
      </c>
      <c r="B29" s="2" t="s">
        <v>50</v>
      </c>
      <c r="C29" s="2" t="s">
        <v>62</v>
      </c>
      <c r="D29" s="2" t="s">
        <v>51</v>
      </c>
      <c r="E29" s="2" t="s">
        <v>52</v>
      </c>
      <c r="F29" s="2" t="s">
        <v>53</v>
      </c>
      <c r="G29" s="2" t="s">
        <v>54</v>
      </c>
      <c r="H29" s="3" t="n">
        <v>1</v>
      </c>
      <c r="I29" s="4" t="n">
        <v>130.08</v>
      </c>
      <c r="J29" s="3" t="n">
        <v>160</v>
      </c>
      <c r="K29" s="2" t="n">
        <v>23</v>
      </c>
      <c r="L29" s="3" t="n">
        <v>29.92</v>
      </c>
      <c r="M29" s="3" t="n">
        <v>130.08</v>
      </c>
      <c r="N29" s="2" t="str">
        <f aca="false">IF(ABS(M29+L29-J29)&lt;=0.01,"OK","CHECK")</f>
        <v>OK</v>
      </c>
      <c r="O29" s="2" t="str">
        <f aca="false">IF(ABS(M29/H29-I29)&lt;=0.005+0.01/H29,"OK","CHECK")</f>
        <v>OK</v>
      </c>
      <c r="P29" s="2" t="str">
        <f aca="false">IF(ABS(L29-ROUND(M29*K29/100,2))&lt;=0.02,"OK","CHECK")</f>
        <v>OK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62</v>
      </c>
      <c r="D30" s="2" t="s">
        <v>51</v>
      </c>
      <c r="E30" s="2" t="s">
        <v>52</v>
      </c>
      <c r="F30" s="2" t="s">
        <v>55</v>
      </c>
      <c r="G30" s="2" t="s">
        <v>56</v>
      </c>
      <c r="H30" s="3" t="n">
        <v>1</v>
      </c>
      <c r="I30" s="4" t="n">
        <v>3.25</v>
      </c>
      <c r="J30" s="3" t="n">
        <v>4</v>
      </c>
      <c r="K30" s="2" t="n">
        <v>23</v>
      </c>
      <c r="L30" s="3" t="n">
        <v>0.75</v>
      </c>
      <c r="M30" s="3" t="n">
        <v>3.25</v>
      </c>
      <c r="N30" s="2" t="str">
        <f aca="false">IF(ABS(M30+L30-J30)&lt;=0.01,"OK","CHECK")</f>
        <v>OK</v>
      </c>
      <c r="O30" s="2" t="str">
        <f aca="false">IF(ABS(M30/H30-I30)&lt;=0.005+0.01/H30,"OK","CHECK")</f>
        <v>OK</v>
      </c>
      <c r="P30" s="2" t="str">
        <f aca="false">IF(ABS(L30-ROUND(M30*K30/100,2))&lt;=0.02,"OK","CHECK")</f>
        <v>OK</v>
      </c>
    </row>
    <row r="31" customFormat="false" ht="15" hidden="false" customHeight="false" outlineLevel="0" collapsed="false">
      <c r="A31" s="2" t="n">
        <v>30</v>
      </c>
      <c r="B31" s="2" t="s">
        <v>50</v>
      </c>
      <c r="C31" s="2" t="s">
        <v>62</v>
      </c>
      <c r="D31" s="2" t="s">
        <v>51</v>
      </c>
      <c r="E31" s="2" t="s">
        <v>57</v>
      </c>
      <c r="F31" s="2" t="s">
        <v>53</v>
      </c>
      <c r="G31" s="2" t="s">
        <v>54</v>
      </c>
      <c r="H31" s="3" t="n">
        <v>1</v>
      </c>
      <c r="I31" s="4" t="n">
        <v>130.08</v>
      </c>
      <c r="J31" s="3" t="n">
        <v>160</v>
      </c>
      <c r="K31" s="2" t="n">
        <v>23</v>
      </c>
      <c r="L31" s="3" t="n">
        <v>29.92</v>
      </c>
      <c r="M31" s="3" t="n">
        <v>130.08</v>
      </c>
      <c r="N31" s="2" t="str">
        <f aca="false">IF(ABS(M31+L31-J31)&lt;=0.01,"OK","CHECK")</f>
        <v>OK</v>
      </c>
      <c r="O31" s="2" t="str">
        <f aca="false">IF(ABS(M31/H31-I31)&lt;=0.005+0.01/H31,"OK","CHECK")</f>
        <v>OK</v>
      </c>
      <c r="P31" s="2" t="str">
        <f aca="false">IF(ABS(L31-ROUND(M31*K31/100,2))&lt;=0.02,"OK","CHECK")</f>
        <v>OK</v>
      </c>
    </row>
    <row r="32" customFormat="false" ht="15" hidden="false" customHeight="false" outlineLevel="0" collapsed="false">
      <c r="A32" s="2" t="n">
        <v>31</v>
      </c>
      <c r="B32" s="2" t="s">
        <v>50</v>
      </c>
      <c r="C32" s="2" t="s">
        <v>62</v>
      </c>
      <c r="D32" s="2" t="s">
        <v>51</v>
      </c>
      <c r="E32" s="2" t="s">
        <v>57</v>
      </c>
      <c r="F32" s="2" t="s">
        <v>55</v>
      </c>
      <c r="G32" s="2" t="s">
        <v>56</v>
      </c>
      <c r="H32" s="3" t="n">
        <v>1</v>
      </c>
      <c r="I32" s="4" t="n">
        <v>3.25</v>
      </c>
      <c r="J32" s="3" t="n">
        <v>4</v>
      </c>
      <c r="K32" s="2" t="n">
        <v>23</v>
      </c>
      <c r="L32" s="3" t="n">
        <v>0.75</v>
      </c>
      <c r="M32" s="3" t="n">
        <v>3.25</v>
      </c>
      <c r="N32" s="2" t="str">
        <f aca="false">IF(ABS(M32+L32-J32)&lt;=0.01,"OK","CHECK")</f>
        <v>OK</v>
      </c>
      <c r="O32" s="2" t="str">
        <f aca="false">IF(ABS(M32/H32-I32)&lt;=0.005+0.01/H32,"OK","CHECK")</f>
        <v>OK</v>
      </c>
      <c r="P32" s="2" t="str">
        <f aca="false">IF(ABS(L32-ROUND(M32*K32/100,2))&lt;=0.02,"OK","CHECK")</f>
        <v>OK</v>
      </c>
    </row>
    <row r="33" customFormat="false" ht="15" hidden="false" customHeight="false" outlineLevel="0" collapsed="false">
      <c r="A33" s="2" t="n">
        <v>32</v>
      </c>
      <c r="B33" s="2" t="s">
        <v>63</v>
      </c>
      <c r="C33" s="2" t="s">
        <v>33</v>
      </c>
      <c r="D33" s="2" t="s">
        <v>64</v>
      </c>
      <c r="E33" s="2" t="s">
        <v>19</v>
      </c>
      <c r="F33" s="2" t="s">
        <v>25</v>
      </c>
      <c r="G33" s="2" t="s">
        <v>26</v>
      </c>
      <c r="H33" s="3" t="n">
        <v>43.45</v>
      </c>
      <c r="I33" s="4" t="n">
        <v>2.16</v>
      </c>
      <c r="J33" s="3" t="n">
        <v>115.28</v>
      </c>
      <c r="K33" s="2" t="n">
        <v>23</v>
      </c>
      <c r="L33" s="3" t="n">
        <v>21.56</v>
      </c>
      <c r="M33" s="3" t="n">
        <v>93.72</v>
      </c>
      <c r="N33" s="2" t="str">
        <f aca="false">IF(ABS(M33+L33-J33)&lt;=0.01,"OK","CHECK")</f>
        <v>OK</v>
      </c>
      <c r="O33" s="2" t="str">
        <f aca="false">IF(ABS(M33/H33-I33)&lt;=0.005+0.01/H33,"OK","CHECK")</f>
        <v>OK</v>
      </c>
      <c r="P33" s="2" t="str">
        <f aca="false">IF(ABS(L33-ROUND(M33*K33/100,2))&lt;=0.02,"OK","CHECK")</f>
        <v>OK</v>
      </c>
    </row>
    <row r="34" customFormat="false" ht="15" hidden="false" customHeight="false" outlineLevel="0" collapsed="false">
      <c r="A34" s="2" t="n">
        <v>33</v>
      </c>
      <c r="B34" s="2" t="s">
        <v>63</v>
      </c>
      <c r="C34" s="2" t="s">
        <v>33</v>
      </c>
      <c r="D34" s="2" t="s">
        <v>64</v>
      </c>
      <c r="E34" s="2" t="s">
        <v>19</v>
      </c>
      <c r="F34" s="2" t="s">
        <v>20</v>
      </c>
      <c r="G34" s="2" t="s">
        <v>21</v>
      </c>
      <c r="H34" s="3" t="n">
        <v>290.8</v>
      </c>
      <c r="I34" s="4" t="n">
        <v>5.85</v>
      </c>
      <c r="J34" s="3" t="n">
        <v>1837.59</v>
      </c>
      <c r="K34" s="2" t="n">
        <v>8</v>
      </c>
      <c r="L34" s="3" t="n">
        <v>136.12</v>
      </c>
      <c r="M34" s="3" t="n">
        <v>1701.47</v>
      </c>
      <c r="N34" s="2" t="str">
        <f aca="false">IF(ABS(M34+L34-J34)&lt;=0.01,"OK","CHECK")</f>
        <v>OK</v>
      </c>
      <c r="O34" s="2" t="str">
        <f aca="false">IF(ABS(M34/H34-I34)&lt;=0.005+0.01/H34,"OK","CHECK")</f>
        <v>OK</v>
      </c>
      <c r="P34" s="2" t="str">
        <f aca="false">IF(ABS(L34-ROUND(M34*K34/100,2))&lt;=0.02,"OK","CHECK")</f>
        <v>OK</v>
      </c>
    </row>
    <row r="35" customFormat="false" ht="15" hidden="false" customHeight="false" outlineLevel="0" collapsed="false">
      <c r="A35" s="2" t="n">
        <v>34</v>
      </c>
      <c r="B35" s="2" t="s">
        <v>63</v>
      </c>
      <c r="C35" s="2" t="s">
        <v>33</v>
      </c>
      <c r="D35" s="2" t="s">
        <v>64</v>
      </c>
      <c r="E35" s="2" t="s">
        <v>19</v>
      </c>
      <c r="F35" s="2" t="s">
        <v>20</v>
      </c>
      <c r="G35" s="2" t="s">
        <v>21</v>
      </c>
      <c r="H35" s="3" t="n">
        <v>144.79</v>
      </c>
      <c r="I35" s="4" t="n">
        <v>5.85</v>
      </c>
      <c r="J35" s="3" t="n">
        <v>914.93</v>
      </c>
      <c r="K35" s="2" t="n">
        <v>8</v>
      </c>
      <c r="L35" s="3" t="n">
        <v>67.77</v>
      </c>
      <c r="M35" s="3" t="n">
        <v>847.16</v>
      </c>
      <c r="N35" s="2" t="str">
        <f aca="false">IF(ABS(M35+L35-J35)&lt;=0.01,"OK","CHECK")</f>
        <v>OK</v>
      </c>
      <c r="O35" s="2" t="str">
        <f aca="false">IF(ABS(M35/H35-I35)&lt;=0.005+0.01/H35,"OK","CHECK")</f>
        <v>OK</v>
      </c>
      <c r="P35" s="2" t="str">
        <f aca="false">IF(ABS(L35-ROUND(M35*K35/100,2))&lt;=0.02,"OK","CHECK")</f>
        <v>OK</v>
      </c>
    </row>
    <row r="36" customFormat="false" ht="15" hidden="false" customHeight="false" outlineLevel="0" collapsed="false">
      <c r="A36" s="2" t="n">
        <v>35</v>
      </c>
      <c r="B36" s="2" t="s">
        <v>65</v>
      </c>
      <c r="C36" s="2" t="s">
        <v>66</v>
      </c>
      <c r="D36" s="2" t="s">
        <v>67</v>
      </c>
      <c r="E36" s="2" t="s">
        <v>19</v>
      </c>
      <c r="F36" s="2" t="s">
        <v>20</v>
      </c>
      <c r="G36" s="2" t="s">
        <v>21</v>
      </c>
      <c r="H36" s="3" t="n">
        <v>350</v>
      </c>
      <c r="I36" s="4" t="n">
        <v>5.85</v>
      </c>
      <c r="J36" s="3" t="n">
        <v>2210.17</v>
      </c>
      <c r="K36" s="2" t="n">
        <v>8</v>
      </c>
      <c r="L36" s="3" t="n">
        <v>163.72</v>
      </c>
      <c r="M36" s="3" t="n">
        <v>2046.45</v>
      </c>
      <c r="N36" s="2" t="str">
        <f aca="false">IF(ABS(M36+L36-J36)&lt;=0.01,"OK","CHECK")</f>
        <v>OK</v>
      </c>
      <c r="O36" s="2" t="str">
        <f aca="false">IF(ABS(M36/H36-I36)&lt;=0.005+0.01/H36,"OK","CHECK")</f>
        <v>OK</v>
      </c>
      <c r="P36" s="2" t="str">
        <f aca="false">IF(ABS(L36-ROUND(M36*K36/100,2))&lt;=0.02,"OK","CHECK")</f>
        <v>OK</v>
      </c>
    </row>
    <row r="37" customFormat="false" ht="15" hidden="false" customHeight="false" outlineLevel="0" collapsed="false">
      <c r="A37" s="2" t="n">
        <v>36</v>
      </c>
      <c r="B37" s="2" t="s">
        <v>65</v>
      </c>
      <c r="C37" s="2" t="s">
        <v>33</v>
      </c>
      <c r="D37" s="2" t="s">
        <v>67</v>
      </c>
      <c r="E37" s="2" t="s">
        <v>19</v>
      </c>
      <c r="F37" s="2" t="s">
        <v>20</v>
      </c>
      <c r="G37" s="2" t="s">
        <v>21</v>
      </c>
      <c r="H37" s="3" t="n">
        <v>150</v>
      </c>
      <c r="I37" s="4" t="n">
        <v>5.85</v>
      </c>
      <c r="J37" s="3" t="n">
        <v>947.86</v>
      </c>
      <c r="K37" s="2" t="n">
        <v>8</v>
      </c>
      <c r="L37" s="3" t="n">
        <v>70.21</v>
      </c>
      <c r="M37" s="3" t="n">
        <v>877.65</v>
      </c>
      <c r="N37" s="2" t="str">
        <f aca="false">IF(ABS(M37+L37-J37)&lt;=0.01,"OK","CHECK")</f>
        <v>OK</v>
      </c>
      <c r="O37" s="2" t="str">
        <f aca="false">IF(ABS(M37/H37-I37)&lt;=0.005+0.01/H37,"OK","CHECK")</f>
        <v>OK</v>
      </c>
      <c r="P37" s="2" t="str">
        <f aca="false">IF(ABS(L37-ROUND(M37*K37/100,2))&lt;=0.02,"OK","CHECK")</f>
        <v>OK</v>
      </c>
    </row>
    <row r="38" customFormat="false" ht="15" hidden="false" customHeight="false" outlineLevel="0" collapsed="false">
      <c r="A38" s="2" t="n">
        <v>37</v>
      </c>
      <c r="B38" s="2" t="s">
        <v>65</v>
      </c>
      <c r="C38" s="2" t="s">
        <v>28</v>
      </c>
      <c r="D38" s="2" t="s">
        <v>67</v>
      </c>
      <c r="E38" s="2" t="s">
        <v>19</v>
      </c>
      <c r="F38" s="2" t="s">
        <v>20</v>
      </c>
      <c r="G38" s="2" t="s">
        <v>21</v>
      </c>
      <c r="H38" s="3" t="n">
        <v>490</v>
      </c>
      <c r="I38" s="4" t="n">
        <v>5.4</v>
      </c>
      <c r="J38" s="3" t="n">
        <v>2857.15</v>
      </c>
      <c r="K38" s="2" t="n">
        <v>8</v>
      </c>
      <c r="L38" s="3" t="n">
        <v>211.64</v>
      </c>
      <c r="M38" s="3" t="n">
        <v>2645.51</v>
      </c>
      <c r="N38" s="2" t="str">
        <f aca="false">IF(ABS(M38+L38-J38)&lt;=0.01,"OK","CHECK")</f>
        <v>OK</v>
      </c>
      <c r="O38" s="2" t="str">
        <f aca="false">IF(ABS(M38/H38-I38)&lt;=0.005+0.01/H38,"OK","CHECK")</f>
        <v>OK</v>
      </c>
      <c r="P38" s="2" t="str">
        <f aca="false">IF(ABS(L38-ROUND(M38*K38/100,2))&lt;=0.02,"OK","CHECK")</f>
        <v>OK</v>
      </c>
    </row>
    <row r="39" customFormat="false" ht="15" hidden="false" customHeight="false" outlineLevel="0" collapsed="false">
      <c r="A39" s="2" t="n">
        <v>38</v>
      </c>
      <c r="B39" s="2" t="s">
        <v>68</v>
      </c>
      <c r="C39" s="2" t="s">
        <v>28</v>
      </c>
      <c r="D39" s="2" t="s">
        <v>69</v>
      </c>
      <c r="E39" s="2" t="s">
        <v>19</v>
      </c>
      <c r="F39" s="2" t="s">
        <v>20</v>
      </c>
      <c r="G39" s="2" t="s">
        <v>21</v>
      </c>
      <c r="H39" s="3" t="n">
        <v>565</v>
      </c>
      <c r="I39" s="4" t="n">
        <v>5.4</v>
      </c>
      <c r="J39" s="3" t="n">
        <v>3294.47</v>
      </c>
      <c r="K39" s="2" t="n">
        <v>8</v>
      </c>
      <c r="L39" s="3" t="n">
        <v>244.03</v>
      </c>
      <c r="M39" s="3" t="n">
        <v>3050.44</v>
      </c>
      <c r="N39" s="2" t="str">
        <f aca="false">IF(ABS(M39+L39-J39)&lt;=0.01,"OK","CHECK")</f>
        <v>OK</v>
      </c>
      <c r="O39" s="2" t="str">
        <f aca="false">IF(ABS(M39/H39-I39)&lt;=0.005+0.01/H39,"OK","CHECK")</f>
        <v>OK</v>
      </c>
      <c r="P39" s="2" t="str">
        <f aca="false">IF(ABS(L39-ROUND(M39*K39/100,2))&lt;=0.02,"OK","CHECK")</f>
        <v>OK</v>
      </c>
    </row>
    <row r="40" customFormat="false" ht="15" hidden="false" customHeight="false" outlineLevel="0" collapsed="false">
      <c r="A40" s="2" t="n">
        <v>39</v>
      </c>
      <c r="B40" s="2" t="s">
        <v>70</v>
      </c>
      <c r="C40" s="2" t="s">
        <v>58</v>
      </c>
      <c r="D40" s="2" t="s">
        <v>71</v>
      </c>
      <c r="E40" s="2" t="s">
        <v>19</v>
      </c>
      <c r="F40" s="2" t="s">
        <v>20</v>
      </c>
      <c r="G40" s="2" t="s">
        <v>21</v>
      </c>
      <c r="H40" s="3" t="n">
        <v>512.5</v>
      </c>
      <c r="I40" s="4" t="n">
        <v>5.82</v>
      </c>
      <c r="J40" s="3" t="n">
        <v>3220.27</v>
      </c>
      <c r="K40" s="2" t="n">
        <v>8</v>
      </c>
      <c r="L40" s="3" t="n">
        <v>238.54</v>
      </c>
      <c r="M40" s="3" t="n">
        <v>2981.73</v>
      </c>
      <c r="N40" s="2" t="str">
        <f aca="false">IF(ABS(M40+L40-J40)&lt;=0.01,"OK","CHECK")</f>
        <v>OK</v>
      </c>
      <c r="O40" s="2" t="str">
        <f aca="false">IF(ABS(M40/H40-I40)&lt;=0.005+0.01/H40,"OK","CHECK")</f>
        <v>OK</v>
      </c>
      <c r="P40" s="2" t="str">
        <f aca="false">IF(ABS(L40-ROUND(M40*K40/100,2))&lt;=0.02,"OK","CHECK")</f>
        <v>OK</v>
      </c>
    </row>
    <row r="41" customFormat="false" ht="15" hidden="false" customHeight="false" outlineLevel="0" collapsed="false">
      <c r="A41" s="2" t="n">
        <v>40</v>
      </c>
      <c r="B41" s="2" t="s">
        <v>72</v>
      </c>
      <c r="C41" s="2" t="s">
        <v>58</v>
      </c>
      <c r="D41" s="2" t="s">
        <v>73</v>
      </c>
      <c r="E41" s="2" t="s">
        <v>19</v>
      </c>
      <c r="F41" s="2" t="s">
        <v>20</v>
      </c>
      <c r="G41" s="2" t="s">
        <v>21</v>
      </c>
      <c r="H41" s="3" t="n">
        <v>770.01</v>
      </c>
      <c r="I41" s="4" t="n">
        <v>5.82</v>
      </c>
      <c r="J41" s="3" t="n">
        <v>4838.31</v>
      </c>
      <c r="K41" s="2" t="n">
        <v>8</v>
      </c>
      <c r="L41" s="3" t="n">
        <v>358.39</v>
      </c>
      <c r="M41" s="3" t="n">
        <v>4479.92</v>
      </c>
      <c r="N41" s="2" t="str">
        <f aca="false">IF(ABS(M41+L41-J41)&lt;=0.01,"OK","CHECK")</f>
        <v>OK</v>
      </c>
      <c r="O41" s="2" t="str">
        <f aca="false">IF(ABS(M41/H41-I41)&lt;=0.005+0.01/H41,"OK","CHECK")</f>
        <v>OK</v>
      </c>
      <c r="P41" s="2" t="str">
        <f aca="false">IF(ABS(L41-ROUND(M41*K41/100,2))&lt;=0.02,"OK","CHECK")</f>
        <v>OK</v>
      </c>
    </row>
    <row r="42" customFormat="false" ht="15" hidden="false" customHeight="false" outlineLevel="0" collapsed="false">
      <c r="A42" s="2" t="n">
        <v>41</v>
      </c>
      <c r="B42" s="2" t="s">
        <v>74</v>
      </c>
      <c r="C42" s="2" t="s">
        <v>27</v>
      </c>
      <c r="D42" s="2" t="s">
        <v>75</v>
      </c>
      <c r="E42" s="2" t="s">
        <v>19</v>
      </c>
      <c r="F42" s="2" t="s">
        <v>20</v>
      </c>
      <c r="G42" s="2" t="s">
        <v>21</v>
      </c>
      <c r="H42" s="3" t="n">
        <v>250.03</v>
      </c>
      <c r="I42" s="4" t="n">
        <v>5.75</v>
      </c>
      <c r="J42" s="3" t="n">
        <v>1552.68</v>
      </c>
      <c r="K42" s="2" t="n">
        <v>8</v>
      </c>
      <c r="L42" s="3" t="n">
        <v>115.01</v>
      </c>
      <c r="M42" s="3" t="n">
        <v>1437.67</v>
      </c>
      <c r="N42" s="2" t="str">
        <f aca="false">IF(ABS(M42+L42-J42)&lt;=0.01,"OK","CHECK")</f>
        <v>OK</v>
      </c>
      <c r="O42" s="2" t="str">
        <f aca="false">IF(ABS(M42/H42-I42)&lt;=0.005+0.01/H42,"OK","CHECK")</f>
        <v>OK</v>
      </c>
      <c r="P42" s="2" t="str">
        <f aca="false">IF(ABS(L42-ROUND(M42*K42/100,2))&lt;=0.02,"OK","CHECK")</f>
        <v>OK</v>
      </c>
    </row>
    <row r="43" customFormat="false" ht="15" hidden="false" customHeight="false" outlineLevel="0" collapsed="false">
      <c r="A43" s="2" t="n">
        <v>42</v>
      </c>
      <c r="B43" s="2" t="s">
        <v>76</v>
      </c>
      <c r="C43" s="2" t="s">
        <v>77</v>
      </c>
      <c r="D43" s="2" t="s">
        <v>78</v>
      </c>
      <c r="E43" s="2" t="s">
        <v>19</v>
      </c>
      <c r="F43" s="2" t="s">
        <v>25</v>
      </c>
      <c r="G43" s="2" t="s">
        <v>26</v>
      </c>
      <c r="H43" s="3" t="n">
        <v>20</v>
      </c>
      <c r="I43" s="4" t="n">
        <v>2.16</v>
      </c>
      <c r="J43" s="3" t="n">
        <v>53.06</v>
      </c>
      <c r="K43" s="2" t="n">
        <v>23</v>
      </c>
      <c r="L43" s="3" t="n">
        <v>9.92</v>
      </c>
      <c r="M43" s="3" t="n">
        <v>43.14</v>
      </c>
      <c r="N43" s="2" t="str">
        <f aca="false">IF(ABS(M43+L43-J43)&lt;=0.01,"OK","CHECK")</f>
        <v>OK</v>
      </c>
      <c r="O43" s="2" t="str">
        <f aca="false">IF(ABS(M43/H43-I43)&lt;=0.005+0.01/H43,"OK","CHECK")</f>
        <v>OK</v>
      </c>
      <c r="P43" s="2" t="str">
        <f aca="false">IF(ABS(L43-ROUND(M43*K43/100,2))&lt;=0.02,"OK","CHECK")</f>
        <v>OK</v>
      </c>
    </row>
    <row r="44" customFormat="false" ht="15" hidden="false" customHeight="false" outlineLevel="0" collapsed="false">
      <c r="A44" s="2" t="n">
        <v>43</v>
      </c>
      <c r="B44" s="2" t="s">
        <v>76</v>
      </c>
      <c r="C44" s="2" t="s">
        <v>45</v>
      </c>
      <c r="D44" s="2" t="s">
        <v>78</v>
      </c>
      <c r="E44" s="2" t="s">
        <v>19</v>
      </c>
      <c r="F44" s="2" t="s">
        <v>20</v>
      </c>
      <c r="G44" s="2" t="s">
        <v>21</v>
      </c>
      <c r="H44" s="3" t="n">
        <v>485</v>
      </c>
      <c r="I44" s="4" t="n">
        <v>5.38</v>
      </c>
      <c r="J44" s="3" t="n">
        <v>2816.48</v>
      </c>
      <c r="K44" s="2" t="n">
        <v>8</v>
      </c>
      <c r="L44" s="3" t="n">
        <v>208.63</v>
      </c>
      <c r="M44" s="3" t="n">
        <v>2607.85</v>
      </c>
      <c r="N44" s="2" t="str">
        <f aca="false">IF(ABS(M44+L44-J44)&lt;=0.01,"OK","CHECK")</f>
        <v>OK</v>
      </c>
      <c r="O44" s="2" t="str">
        <f aca="false">IF(ABS(M44/H44-I44)&lt;=0.005+0.01/H44,"OK","CHECK")</f>
        <v>OK</v>
      </c>
      <c r="P44" s="2" t="str">
        <f aca="false">IF(ABS(L44-ROUND(M44*K44/100,2))&lt;=0.02,"OK","CHECK")</f>
        <v>OK</v>
      </c>
    </row>
    <row r="45" customFormat="false" ht="15" hidden="false" customHeight="false" outlineLevel="0" collapsed="false">
      <c r="A45" s="2" t="n">
        <v>44</v>
      </c>
      <c r="B45" s="2" t="s">
        <v>76</v>
      </c>
      <c r="C45" s="2" t="s">
        <v>45</v>
      </c>
      <c r="D45" s="2" t="s">
        <v>78</v>
      </c>
      <c r="E45" s="2" t="s">
        <v>19</v>
      </c>
      <c r="F45" s="2" t="s">
        <v>20</v>
      </c>
      <c r="G45" s="2" t="s">
        <v>21</v>
      </c>
      <c r="H45" s="3" t="n">
        <v>435</v>
      </c>
      <c r="I45" s="4" t="n">
        <v>5.38</v>
      </c>
      <c r="J45" s="3" t="n">
        <v>2526.12</v>
      </c>
      <c r="K45" s="2" t="n">
        <v>8</v>
      </c>
      <c r="L45" s="3" t="n">
        <v>187.12</v>
      </c>
      <c r="M45" s="3" t="n">
        <v>2339</v>
      </c>
      <c r="N45" s="2" t="str">
        <f aca="false">IF(ABS(M45+L45-J45)&lt;=0.01,"OK","CHECK")</f>
        <v>OK</v>
      </c>
      <c r="O45" s="2" t="str">
        <f aca="false">IF(ABS(M45/H45-I45)&lt;=0.005+0.01/H45,"OK","CHECK")</f>
        <v>OK</v>
      </c>
      <c r="P45" s="2" t="str">
        <f aca="false">IF(ABS(L45-ROUND(M45*K45/100,2))&lt;=0.02,"OK","CHECK")</f>
        <v>OK</v>
      </c>
    </row>
    <row r="46" customFormat="false" ht="15" hidden="false" customHeight="false" outlineLevel="0" collapsed="false">
      <c r="A46" s="2" t="n">
        <v>45</v>
      </c>
      <c r="B46" s="2" t="s">
        <v>79</v>
      </c>
      <c r="C46" s="2" t="s">
        <v>62</v>
      </c>
      <c r="D46" s="2" t="s">
        <v>80</v>
      </c>
      <c r="E46" s="2" t="s">
        <v>19</v>
      </c>
      <c r="F46" s="2" t="s">
        <v>20</v>
      </c>
      <c r="G46" s="2" t="s">
        <v>21</v>
      </c>
      <c r="H46" s="3" t="n">
        <v>664.86</v>
      </c>
      <c r="I46" s="4" t="n">
        <v>5.91</v>
      </c>
      <c r="J46" s="3" t="n">
        <v>4240.8</v>
      </c>
      <c r="K46" s="2" t="n">
        <v>8</v>
      </c>
      <c r="L46" s="3" t="n">
        <v>314.13</v>
      </c>
      <c r="M46" s="3" t="n">
        <v>3926.67</v>
      </c>
      <c r="N46" s="2" t="str">
        <f aca="false">IF(ABS(M46+L46-J46)&lt;=0.01,"OK","CHECK")</f>
        <v>OK</v>
      </c>
      <c r="O46" s="2" t="str">
        <f aca="false">IF(ABS(M46/H46-I46)&lt;=0.005+0.01/H46,"OK","CHECK")</f>
        <v>OK</v>
      </c>
      <c r="P46" s="2" t="str">
        <f aca="false">IF(ABS(L46-ROUND(M46*K46/100,2))&lt;=0.02,"OK","CHECK")</f>
        <v>OK</v>
      </c>
    </row>
    <row r="47" customFormat="false" ht="15" hidden="false" customHeight="false" outlineLevel="0" collapsed="false">
      <c r="A47" s="2" t="n">
        <v>46</v>
      </c>
      <c r="B47" s="2" t="s">
        <v>81</v>
      </c>
      <c r="C47" s="2" t="s">
        <v>82</v>
      </c>
      <c r="D47" s="2" t="s">
        <v>83</v>
      </c>
      <c r="E47" s="2" t="s">
        <v>19</v>
      </c>
      <c r="F47" s="2" t="s">
        <v>20</v>
      </c>
      <c r="G47" s="2" t="s">
        <v>21</v>
      </c>
      <c r="H47" s="3" t="n">
        <v>300.53</v>
      </c>
      <c r="I47" s="4" t="n">
        <v>5.38</v>
      </c>
      <c r="J47" s="3" t="n">
        <v>1745.23</v>
      </c>
      <c r="K47" s="2" t="n">
        <v>8</v>
      </c>
      <c r="L47" s="3" t="n">
        <v>129.28</v>
      </c>
      <c r="M47" s="3" t="n">
        <v>1615.95</v>
      </c>
      <c r="N47" s="2" t="str">
        <f aca="false">IF(ABS(M47+L47-J47)&lt;=0.01,"OK","CHECK")</f>
        <v>OK</v>
      </c>
      <c r="O47" s="2" t="str">
        <f aca="false">IF(ABS(M47/H47-I47)&lt;=0.005+0.01/H47,"OK","CHECK")</f>
        <v>OK</v>
      </c>
      <c r="P47" s="2" t="str">
        <f aca="false">IF(ABS(L47-ROUND(M47*K47/100,2))&lt;=0.02,"OK","CHECK")</f>
        <v>OK</v>
      </c>
    </row>
  </sheetData>
  <autoFilter ref="A1:P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5" t="s">
        <v>1</v>
      </c>
      <c r="B1" s="5" t="s">
        <v>84</v>
      </c>
      <c r="C1" s="5" t="s">
        <v>85</v>
      </c>
      <c r="D1" s="5" t="s">
        <v>86</v>
      </c>
      <c r="E1" s="5" t="s">
        <v>87</v>
      </c>
    </row>
    <row r="2" customFormat="false" ht="15" hidden="false" customHeight="false" outlineLevel="0" collapsed="false">
      <c r="A2" s="2" t="s">
        <v>16</v>
      </c>
      <c r="B2" s="3" t="n">
        <v>1812.13</v>
      </c>
      <c r="C2" s="3" t="n">
        <f aca="false">ROUND(SUMIF(Transactions!$B$2:$B$47,A2,Transactions!$J$2:$J$47),2)</f>
        <v>1812.13</v>
      </c>
      <c r="D2" s="3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22</v>
      </c>
      <c r="B3" s="3" t="n">
        <v>2467.15</v>
      </c>
      <c r="C3" s="3" t="n">
        <f aca="false">ROUND(SUMIF(Transactions!$B$2:$B$47,A3,Transactions!$J$2:$J$47),2)</f>
        <v>2467.15</v>
      </c>
      <c r="D3" s="3" t="n">
        <f aca="false">C3-B3</f>
        <v>0</v>
      </c>
      <c r="E3" s="2" t="str">
        <f aca="false">IF(ABS(D3)&lt;=0.01,"OK","CHECK")</f>
        <v>OK</v>
      </c>
    </row>
    <row r="4" customFormat="false" ht="15" hidden="false" customHeight="false" outlineLevel="0" collapsed="false">
      <c r="A4" s="2" t="s">
        <v>29</v>
      </c>
      <c r="B4" s="3" t="n">
        <v>2323.09</v>
      </c>
      <c r="C4" s="3" t="n">
        <f aca="false">ROUND(SUMIF(Transactions!$B$2:$B$47,A4,Transactions!$J$2:$J$47),2)</f>
        <v>2323.09</v>
      </c>
      <c r="D4" s="3" t="n">
        <f aca="false">C4-B4</f>
        <v>0</v>
      </c>
      <c r="E4" s="2" t="str">
        <f aca="false">IF(ABS(D4)&lt;=0.01,"OK","CHECK")</f>
        <v>OK</v>
      </c>
    </row>
    <row r="5" customFormat="false" ht="15" hidden="false" customHeight="false" outlineLevel="0" collapsed="false">
      <c r="A5" s="2" t="s">
        <v>32</v>
      </c>
      <c r="B5" s="3" t="n">
        <v>8371.8</v>
      </c>
      <c r="C5" s="3" t="n">
        <f aca="false">ROUND(SUMIF(Transactions!$B$2:$B$47,A5,Transactions!$J$2:$J$47),2)</f>
        <v>8371.8</v>
      </c>
      <c r="D5" s="3" t="n">
        <f aca="false">C5-B5</f>
        <v>0</v>
      </c>
      <c r="E5" s="2" t="str">
        <f aca="false">IF(ABS(D5)&lt;=0.01,"OK","CHECK")</f>
        <v>OK</v>
      </c>
    </row>
    <row r="6" customFormat="false" ht="15" hidden="false" customHeight="false" outlineLevel="0" collapsed="false">
      <c r="A6" s="2" t="s">
        <v>35</v>
      </c>
      <c r="B6" s="3" t="n">
        <v>3514.1</v>
      </c>
      <c r="C6" s="3" t="n">
        <f aca="false">ROUND(SUMIF(Transactions!$B$2:$B$47,A6,Transactions!$J$2:$J$47),2)</f>
        <v>3514.1</v>
      </c>
      <c r="D6" s="3" t="n">
        <f aca="false">C6-B6</f>
        <v>0</v>
      </c>
      <c r="E6" s="2" t="str">
        <f aca="false">IF(ABS(D6)&lt;=0.01,"OK","CHECK")</f>
        <v>OK</v>
      </c>
    </row>
    <row r="7" customFormat="false" ht="15" hidden="false" customHeight="false" outlineLevel="0" collapsed="false">
      <c r="A7" s="2" t="s">
        <v>39</v>
      </c>
      <c r="B7" s="3" t="n">
        <v>6889.62</v>
      </c>
      <c r="C7" s="3" t="n">
        <f aca="false">ROUND(SUMIF(Transactions!$B$2:$B$47,A7,Transactions!$J$2:$J$47),2)</f>
        <v>6889.62</v>
      </c>
      <c r="D7" s="3" t="n">
        <f aca="false">C7-B7</f>
        <v>0</v>
      </c>
      <c r="E7" s="2" t="str">
        <f aca="false">IF(ABS(D7)&lt;=0.01,"OK","CHECK")</f>
        <v>OK</v>
      </c>
    </row>
    <row r="8" customFormat="false" ht="15" hidden="false" customHeight="false" outlineLevel="0" collapsed="false">
      <c r="A8" s="2" t="s">
        <v>41</v>
      </c>
      <c r="B8" s="3" t="n">
        <v>3895.73</v>
      </c>
      <c r="C8" s="3" t="n">
        <f aca="false">ROUND(SUMIF(Transactions!$B$2:$B$47,A8,Transactions!$J$2:$J$47),2)</f>
        <v>3895.73</v>
      </c>
      <c r="D8" s="3" t="n">
        <f aca="false">C8-B8</f>
        <v>0</v>
      </c>
      <c r="E8" s="2" t="str">
        <f aca="false">IF(ABS(D8)&lt;=0.01,"OK","CHECK")</f>
        <v>OK</v>
      </c>
    </row>
    <row r="9" customFormat="false" ht="15" hidden="false" customHeight="false" outlineLevel="0" collapsed="false">
      <c r="A9" s="2" t="s">
        <v>44</v>
      </c>
      <c r="B9" s="3" t="n">
        <v>4471.51</v>
      </c>
      <c r="C9" s="3" t="n">
        <f aca="false">ROUND(SUMIF(Transactions!$B$2:$B$47,A9,Transactions!$J$2:$J$47),2)</f>
        <v>4471.51</v>
      </c>
      <c r="D9" s="3" t="n">
        <f aca="false">C9-B9</f>
        <v>0</v>
      </c>
      <c r="E9" s="2" t="str">
        <f aca="false">IF(ABS(D9)&lt;=0.01,"OK","CHECK")</f>
        <v>OK</v>
      </c>
    </row>
    <row r="10" customFormat="false" ht="15" hidden="false" customHeight="false" outlineLevel="0" collapsed="false">
      <c r="A10" s="2" t="s">
        <v>47</v>
      </c>
      <c r="B10" s="3" t="n">
        <v>4233.85</v>
      </c>
      <c r="C10" s="3" t="n">
        <f aca="false">ROUND(SUMIF(Transactions!$B$2:$B$47,A10,Transactions!$J$2:$J$47),2)</f>
        <v>4233.85</v>
      </c>
      <c r="D10" s="3" t="n">
        <f aca="false">C10-B10</f>
        <v>0</v>
      </c>
      <c r="E10" s="2" t="str">
        <f aca="false">IF(ABS(D10)&lt;=0.01,"OK","CHECK")</f>
        <v>OK</v>
      </c>
    </row>
    <row r="11" customFormat="false" ht="15" hidden="false" customHeight="false" outlineLevel="0" collapsed="false">
      <c r="A11" s="2" t="s">
        <v>50</v>
      </c>
      <c r="B11" s="3" t="n">
        <v>1065.98</v>
      </c>
      <c r="C11" s="3" t="n">
        <f aca="false">ROUND(SUMIF(Transactions!$B$2:$B$47,A11,Transactions!$J$2:$J$47),2)</f>
        <v>1065.98</v>
      </c>
      <c r="D11" s="3" t="n">
        <f aca="false">C11-B11</f>
        <v>0</v>
      </c>
      <c r="E11" s="2" t="str">
        <f aca="false">IF(ABS(D11)&lt;=0.01,"OK","CHECK")</f>
        <v>OK</v>
      </c>
    </row>
    <row r="12" customFormat="false" ht="15" hidden="false" customHeight="false" outlineLevel="0" collapsed="false">
      <c r="A12" s="2" t="s">
        <v>63</v>
      </c>
      <c r="B12" s="3" t="n">
        <v>2867.8</v>
      </c>
      <c r="C12" s="3" t="n">
        <f aca="false">ROUND(SUMIF(Transactions!$B$2:$B$47,A12,Transactions!$J$2:$J$47),2)</f>
        <v>2867.8</v>
      </c>
      <c r="D12" s="3" t="n">
        <f aca="false">C12-B12</f>
        <v>0</v>
      </c>
      <c r="E12" s="2" t="str">
        <f aca="false">IF(ABS(D12)&lt;=0.01,"OK","CHECK")</f>
        <v>OK</v>
      </c>
    </row>
    <row r="13" customFormat="false" ht="15" hidden="false" customHeight="false" outlineLevel="0" collapsed="false">
      <c r="A13" s="2" t="s">
        <v>65</v>
      </c>
      <c r="B13" s="3" t="n">
        <v>6015.18</v>
      </c>
      <c r="C13" s="3" t="n">
        <f aca="false">ROUND(SUMIF(Transactions!$B$2:$B$47,A13,Transactions!$J$2:$J$47),2)</f>
        <v>6015.18</v>
      </c>
      <c r="D13" s="3" t="n">
        <f aca="false">C13-B13</f>
        <v>0</v>
      </c>
      <c r="E13" s="2" t="str">
        <f aca="false">IF(ABS(D13)&lt;=0.01,"OK","CHECK")</f>
        <v>OK</v>
      </c>
    </row>
    <row r="14" customFormat="false" ht="15" hidden="false" customHeight="false" outlineLevel="0" collapsed="false">
      <c r="A14" s="2" t="s">
        <v>68</v>
      </c>
      <c r="B14" s="3" t="n">
        <v>3294.47</v>
      </c>
      <c r="C14" s="3" t="n">
        <f aca="false">ROUND(SUMIF(Transactions!$B$2:$B$47,A14,Transactions!$J$2:$J$47),2)</f>
        <v>3294.47</v>
      </c>
      <c r="D14" s="3" t="n">
        <f aca="false">C14-B14</f>
        <v>0</v>
      </c>
      <c r="E14" s="2" t="str">
        <f aca="false">IF(ABS(D14)&lt;=0.01,"OK","CHECK")</f>
        <v>OK</v>
      </c>
    </row>
    <row r="15" customFormat="false" ht="15" hidden="false" customHeight="false" outlineLevel="0" collapsed="false">
      <c r="A15" s="2" t="s">
        <v>70</v>
      </c>
      <c r="B15" s="3" t="n">
        <v>3220.27</v>
      </c>
      <c r="C15" s="3" t="n">
        <f aca="false">ROUND(SUMIF(Transactions!$B$2:$B$47,A15,Transactions!$J$2:$J$47),2)</f>
        <v>3220.27</v>
      </c>
      <c r="D15" s="3" t="n">
        <f aca="false">C15-B15</f>
        <v>0</v>
      </c>
      <c r="E15" s="2" t="str">
        <f aca="false">IF(ABS(D15)&lt;=0.01,"OK","CHECK")</f>
        <v>OK</v>
      </c>
    </row>
    <row r="16" customFormat="false" ht="15" hidden="false" customHeight="false" outlineLevel="0" collapsed="false">
      <c r="A16" s="2" t="s">
        <v>72</v>
      </c>
      <c r="B16" s="3" t="n">
        <v>4838.31</v>
      </c>
      <c r="C16" s="3" t="n">
        <f aca="false">ROUND(SUMIF(Transactions!$B$2:$B$47,A16,Transactions!$J$2:$J$47),2)</f>
        <v>4838.31</v>
      </c>
      <c r="D16" s="3" t="n">
        <f aca="false">C16-B16</f>
        <v>0</v>
      </c>
      <c r="E16" s="2" t="str">
        <f aca="false">IF(ABS(D16)&lt;=0.01,"OK","CHECK")</f>
        <v>OK</v>
      </c>
    </row>
    <row r="17" customFormat="false" ht="15" hidden="false" customHeight="false" outlineLevel="0" collapsed="false">
      <c r="A17" s="2" t="s">
        <v>74</v>
      </c>
      <c r="B17" s="3" t="n">
        <v>1552.68</v>
      </c>
      <c r="C17" s="3" t="n">
        <f aca="false">ROUND(SUMIF(Transactions!$B$2:$B$47,A17,Transactions!$J$2:$J$47),2)</f>
        <v>1552.68</v>
      </c>
      <c r="D17" s="3" t="n">
        <f aca="false">C17-B17</f>
        <v>0</v>
      </c>
      <c r="E17" s="2" t="str">
        <f aca="false">IF(ABS(D17)&lt;=0.01,"OK","CHECK")</f>
        <v>OK</v>
      </c>
    </row>
    <row r="18" customFormat="false" ht="15" hidden="false" customHeight="false" outlineLevel="0" collapsed="false">
      <c r="A18" s="2" t="s">
        <v>76</v>
      </c>
      <c r="B18" s="3" t="n">
        <v>5395.66</v>
      </c>
      <c r="C18" s="3" t="n">
        <f aca="false">ROUND(SUMIF(Transactions!$B$2:$B$47,A18,Transactions!$J$2:$J$47),2)</f>
        <v>5395.66</v>
      </c>
      <c r="D18" s="3" t="n">
        <f aca="false">C18-B18</f>
        <v>0</v>
      </c>
      <c r="E18" s="2" t="str">
        <f aca="false">IF(ABS(D18)&lt;=0.01,"OK","CHECK")</f>
        <v>OK</v>
      </c>
    </row>
    <row r="19" customFormat="false" ht="15" hidden="false" customHeight="false" outlineLevel="0" collapsed="false">
      <c r="A19" s="2" t="s">
        <v>79</v>
      </c>
      <c r="B19" s="3" t="n">
        <v>4240.8</v>
      </c>
      <c r="C19" s="3" t="n">
        <f aca="false">ROUND(SUMIF(Transactions!$B$2:$B$47,A19,Transactions!$J$2:$J$47),2)</f>
        <v>4240.8</v>
      </c>
      <c r="D19" s="3" t="n">
        <f aca="false">C19-B19</f>
        <v>0</v>
      </c>
      <c r="E19" s="2" t="str">
        <f aca="false">IF(ABS(D19)&lt;=0.01,"OK","CHECK")</f>
        <v>OK</v>
      </c>
    </row>
    <row r="20" customFormat="false" ht="15" hidden="false" customHeight="false" outlineLevel="0" collapsed="false">
      <c r="A20" s="2" t="s">
        <v>81</v>
      </c>
      <c r="B20" s="3" t="n">
        <v>1745.23</v>
      </c>
      <c r="C20" s="3" t="n">
        <f aca="false">ROUND(SUMIF(Transactions!$B$2:$B$47,A20,Transactions!$J$2:$J$47),2)</f>
        <v>1745.23</v>
      </c>
      <c r="D20" s="3" t="n">
        <f aca="false">C20-B20</f>
        <v>0</v>
      </c>
      <c r="E20" s="2" t="str">
        <f aca="false">IF(ABS(D20)&lt;=0.01,"OK","CHECK")</f>
        <v>OK</v>
      </c>
    </row>
    <row r="21" customFormat="false" ht="15" hidden="false" customHeight="false" outlineLevel="0" collapsed="false">
      <c r="A21" s="6" t="s">
        <v>88</v>
      </c>
      <c r="B21" s="7" t="n">
        <f aca="false">SUM(B2:B20)</f>
        <v>72215.36</v>
      </c>
      <c r="C21" s="7" t="n">
        <f aca="false">SUM(C2:C20)</f>
        <v>72215.36</v>
      </c>
      <c r="D21" s="7" t="n">
        <f aca="false">C21-B21</f>
        <v>0</v>
      </c>
      <c r="E21" s="6" t="str">
        <f aca="false">IF(ABS(D21)&lt;=0.01,"OK","CHECK")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5" t="s">
        <v>89</v>
      </c>
      <c r="B1" s="5" t="s">
        <v>90</v>
      </c>
      <c r="C1" s="5" t="s">
        <v>91</v>
      </c>
      <c r="D1" s="5" t="s">
        <v>86</v>
      </c>
      <c r="E1" s="5" t="s">
        <v>87</v>
      </c>
    </row>
    <row r="2" customFormat="false" ht="15" hidden="false" customHeight="false" outlineLevel="0" collapsed="false">
      <c r="A2" s="2" t="s">
        <v>92</v>
      </c>
      <c r="B2" s="3" t="n">
        <v>11544.39</v>
      </c>
      <c r="C2" s="3" t="n">
        <f aca="false">ROUND(SUMIF(Transactions!$G$2:$G$47,"Diesel",Transactions!$H$2:$H$47),2)</f>
        <v>11544.39</v>
      </c>
      <c r="D2" s="3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93</v>
      </c>
      <c r="B3" s="3" t="n">
        <v>70768.51</v>
      </c>
      <c r="C3" s="3" t="n">
        <f aca="false">ROUND(SUMIF(Transactions!$G$2:$G$47,"Diesel",Transactions!$J$2:$J$47),2)</f>
        <v>70768.51</v>
      </c>
      <c r="D3" s="3" t="n">
        <f aca="false">C3-B3</f>
        <v>0</v>
      </c>
      <c r="E3" s="2" t="str">
        <f aca="false">IF(ABS(D3)&lt;=0.01,"OK","CHECK")</f>
        <v>OK</v>
      </c>
    </row>
    <row r="4" customFormat="false" ht="15" hidden="false" customHeight="false" outlineLevel="0" collapsed="false">
      <c r="A4" s="2" t="s">
        <v>94</v>
      </c>
      <c r="B4" s="3" t="n">
        <v>65526.42</v>
      </c>
      <c r="C4" s="3" t="n">
        <f aca="false">ROUND(SUMIF(Transactions!$G$2:$G$47,"Diesel",Transactions!$M$2:$M$47),2)</f>
        <v>65526.42</v>
      </c>
      <c r="D4" s="3" t="n">
        <f aca="false">C4-B4</f>
        <v>0</v>
      </c>
      <c r="E4" s="2" t="str">
        <f aca="false">IF(ABS(D4)&lt;=0.01,"OK","CHECK")</f>
        <v>OK</v>
      </c>
    </row>
    <row r="5" customFormat="false" ht="15" hidden="false" customHeight="false" outlineLevel="0" collapsed="false">
      <c r="A5" s="2" t="s">
        <v>95</v>
      </c>
      <c r="B5" s="3" t="n">
        <v>143.56</v>
      </c>
      <c r="C5" s="3" t="n">
        <f aca="false">ROUND(SUMIF(Transactions!$G$2:$G$47,"AdBlue",Transactions!$H$2:$H$47),2)</f>
        <v>143.56</v>
      </c>
      <c r="D5" s="3" t="n">
        <f aca="false">C5-B5</f>
        <v>0</v>
      </c>
      <c r="E5" s="2" t="str">
        <f aca="false">IF(ABS(D5)&lt;=0.01,"OK","CHECK")</f>
        <v>OK</v>
      </c>
    </row>
    <row r="6" customFormat="false" ht="15" hidden="false" customHeight="false" outlineLevel="0" collapsed="false">
      <c r="A6" s="2" t="s">
        <v>96</v>
      </c>
      <c r="B6" s="3" t="n">
        <v>380.87</v>
      </c>
      <c r="C6" s="3" t="n">
        <f aca="false">ROUND(SUMIF(Transactions!$G$2:$G$47,"AdBlue",Transactions!$J$2:$J$47),2)</f>
        <v>380.87</v>
      </c>
      <c r="D6" s="3" t="n">
        <f aca="false">C6-B6</f>
        <v>0</v>
      </c>
      <c r="E6" s="2" t="str">
        <f aca="false">IF(ABS(D6)&lt;=0.01,"OK","CHECK")</f>
        <v>OK</v>
      </c>
    </row>
    <row r="7" customFormat="false" ht="15" hidden="false" customHeight="false" outlineLevel="0" collapsed="false">
      <c r="A7" s="2" t="s">
        <v>97</v>
      </c>
      <c r="B7" s="3" t="n">
        <v>16</v>
      </c>
      <c r="C7" s="3" t="n">
        <f aca="false">SUMPRODUCT((LEFT(Transactions!$G$2:$G$47,4)="Toll")*Transactions!$H$2:$H$47)</f>
        <v>16</v>
      </c>
      <c r="D7" s="3" t="n">
        <f aca="false">C7-B7</f>
        <v>0</v>
      </c>
      <c r="E7" s="2" t="str">
        <f aca="false">IF(ABS(D7)&lt;=0.01,"OK","CHECK")</f>
        <v>OK</v>
      </c>
    </row>
    <row r="8" customFormat="false" ht="15" hidden="false" customHeight="false" outlineLevel="0" collapsed="false">
      <c r="A8" s="2" t="s">
        <v>98</v>
      </c>
      <c r="B8" s="3" t="n">
        <v>1065.98</v>
      </c>
      <c r="C8" s="3" t="n">
        <f aca="false">ROUND(SUMPRODUCT((LEFT(Transactions!$G$2:$G$47,4)="Toll")*Transactions!$J$2:$J$47),2)</f>
        <v>1065.98</v>
      </c>
      <c r="D8" s="3" t="n">
        <f aca="false">C8-B8</f>
        <v>0</v>
      </c>
      <c r="E8" s="2" t="str">
        <f aca="false">IF(ABS(D8)&lt;=0.01,"OK","CHECK")</f>
        <v>OK</v>
      </c>
    </row>
    <row r="9" customFormat="false" ht="15" hidden="false" customHeight="false" outlineLevel="0" collapsed="false">
      <c r="A9" s="2" t="s">
        <v>99</v>
      </c>
      <c r="B9" s="3" t="n">
        <v>65526.42</v>
      </c>
      <c r="C9" s="3" t="n">
        <f aca="false">ROUND(SUMIF(Transactions!$K$2:$K$47,8,Transactions!$M$2:$M$47),2)</f>
        <v>65526.42</v>
      </c>
      <c r="D9" s="3" t="n">
        <f aca="false">C9-B9</f>
        <v>0</v>
      </c>
      <c r="E9" s="2" t="str">
        <f aca="false">IF(ABS(D9)&lt;=0.01,"OK","CHECK")</f>
        <v>OK</v>
      </c>
    </row>
    <row r="10" customFormat="false" ht="15" hidden="false" customHeight="false" outlineLevel="0" collapsed="false">
      <c r="A10" s="2" t="s">
        <v>100</v>
      </c>
      <c r="B10" s="3" t="n">
        <v>5242.09</v>
      </c>
      <c r="C10" s="3" t="n">
        <f aca="false">ROUND(SUMIF(Transactions!$K$2:$K$47,8,Transactions!$L$2:$L$47),2)</f>
        <v>5242.09</v>
      </c>
      <c r="D10" s="3" t="n">
        <f aca="false">C10-B10</f>
        <v>0</v>
      </c>
      <c r="E10" s="2" t="str">
        <f aca="false">IF(ABS(D10)&lt;=0.02,"OK","CHECK")</f>
        <v>OK</v>
      </c>
    </row>
    <row r="11" customFormat="false" ht="15" hidden="false" customHeight="false" outlineLevel="0" collapsed="false">
      <c r="A11" s="2" t="s">
        <v>101</v>
      </c>
      <c r="B11" s="3" t="n">
        <v>1176.29</v>
      </c>
      <c r="C11" s="3" t="n">
        <f aca="false">ROUND(SUMIF(Transactions!$K$2:$K$47,23,Transactions!$M$2:$M$47),2)</f>
        <v>1176.29</v>
      </c>
      <c r="D11" s="3" t="n">
        <f aca="false">C11-B11</f>
        <v>0</v>
      </c>
      <c r="E11" s="2" t="str">
        <f aca="false">IF(ABS(D11)&lt;=0.01,"OK","CHECK")</f>
        <v>OK</v>
      </c>
    </row>
    <row r="12" customFormat="false" ht="15" hidden="false" customHeight="false" outlineLevel="0" collapsed="false">
      <c r="A12" s="2" t="s">
        <v>102</v>
      </c>
      <c r="B12" s="3" t="n">
        <v>270.56</v>
      </c>
      <c r="C12" s="3" t="n">
        <f aca="false">ROUND(SUMIF(Transactions!$K$2:$K$47,23,Transactions!$L$2:$L$47),2)</f>
        <v>270.56</v>
      </c>
      <c r="D12" s="3" t="n">
        <f aca="false">C12-B12</f>
        <v>0</v>
      </c>
      <c r="E12" s="2" t="str">
        <f aca="false">IF(ABS(D12)&lt;=0.02,"OK","CHECK")</f>
        <v>OK</v>
      </c>
    </row>
    <row r="13" customFormat="false" ht="15" hidden="false" customHeight="false" outlineLevel="0" collapsed="false">
      <c r="A13" s="2" t="s">
        <v>103</v>
      </c>
      <c r="B13" s="3" t="n">
        <v>72215.36</v>
      </c>
      <c r="C13" s="3" t="n">
        <f aca="false">ROUND(SUM(Transactions!$J$2:$J$47),2)</f>
        <v>72215.36</v>
      </c>
      <c r="D13" s="3" t="n">
        <f aca="false">C13-B13</f>
        <v>0</v>
      </c>
      <c r="E13" s="2" t="str">
        <f aca="false">IF(ABS(D13)&lt;=0.01,"OK","CHECK")</f>
        <v>OK</v>
      </c>
    </row>
    <row r="14" customFormat="false" ht="15" hidden="false" customHeight="false" outlineLevel="0" collapsed="false">
      <c r="A14" s="2" t="s">
        <v>104</v>
      </c>
      <c r="B14" s="3" t="n">
        <v>5512.65</v>
      </c>
      <c r="C14" s="3" t="n">
        <f aca="false">ROUND(SUM(Transactions!$L$2:$L$47),2)</f>
        <v>5512.65</v>
      </c>
      <c r="D14" s="3" t="n">
        <f aca="false">C14-B14</f>
        <v>0</v>
      </c>
      <c r="E14" s="2" t="str">
        <f aca="false">IF(ABS(D14)&lt;=0.02,"OK","CHECK")</f>
        <v>OK</v>
      </c>
    </row>
    <row r="15" customFormat="false" ht="15" hidden="false" customHeight="false" outlineLevel="0" collapsed="false">
      <c r="A15" s="2" t="s">
        <v>105</v>
      </c>
      <c r="B15" s="3" t="n">
        <v>66702.71</v>
      </c>
      <c r="C15" s="3" t="n">
        <f aca="false">ROUND(SUM(Transactions!$M$2:$M$47),2)</f>
        <v>66702.71</v>
      </c>
      <c r="D15" s="3" t="n">
        <f aca="false">C15-B15</f>
        <v>0</v>
      </c>
      <c r="E15" s="2" t="str">
        <f aca="false">IF(ABS(D15)&lt;=0.01,"OK","CHECK")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3"/>
  </cols>
  <sheetData>
    <row r="1" customFormat="false" ht="15" hidden="false" customHeight="false" outlineLevel="0" collapsed="false">
      <c r="A1" s="6" t="s">
        <v>106</v>
      </c>
    </row>
    <row r="2" customFormat="false" ht="15" hidden="false" customHeight="false" outlineLevel="0" collapsed="false">
      <c r="A2" s="5" t="s">
        <v>2</v>
      </c>
      <c r="B2" s="5" t="s">
        <v>107</v>
      </c>
      <c r="C2" s="5" t="s">
        <v>12</v>
      </c>
      <c r="D2" s="5" t="s">
        <v>108</v>
      </c>
    </row>
    <row r="3" customFormat="false" ht="15" hidden="false" customHeight="false" outlineLevel="0" collapsed="false">
      <c r="A3" s="2" t="s">
        <v>23</v>
      </c>
      <c r="B3" s="3" t="n">
        <f aca="false">SUMPRODUCT((Transactions!$C$2:$C$47=A3)*(Transactions!$G$2:$G$47="Diesel")*Transactions!$H$2:$H$47)</f>
        <v>256.63</v>
      </c>
      <c r="C3" s="3" t="n">
        <f aca="false">SUMPRODUCT((Transactions!$C$2:$C$47=A3)*(Transactions!$G$2:$G$47="Diesel")*Transactions!$M$2:$M$47)</f>
        <v>1493.07</v>
      </c>
      <c r="D3" s="8" t="n">
        <f aca="false">C3/B3</f>
        <v>5.81798698515372</v>
      </c>
    </row>
    <row r="4" customFormat="false" ht="15" hidden="false" customHeight="false" outlineLevel="0" collapsed="false">
      <c r="A4" s="2" t="s">
        <v>42</v>
      </c>
      <c r="B4" s="3" t="n">
        <f aca="false">SUMPRODUCT((Transactions!$C$2:$C$47=A4)*(Transactions!$G$2:$G$47="Diesel")*Transactions!$H$2:$H$47)</f>
        <v>620</v>
      </c>
      <c r="C4" s="3" t="n">
        <f aca="false">SUMPRODUCT((Transactions!$C$2:$C$47=A4)*(Transactions!$G$2:$G$47="Diesel")*Transactions!$M$2:$M$47)</f>
        <v>3607.16</v>
      </c>
      <c r="D4" s="8" t="n">
        <f aca="false">C4/B4</f>
        <v>5.818</v>
      </c>
    </row>
    <row r="5" customFormat="false" ht="15" hidden="false" customHeight="false" outlineLevel="0" collapsed="false">
      <c r="A5" s="2" t="s">
        <v>58</v>
      </c>
      <c r="B5" s="3" t="n">
        <f aca="false">SUMPRODUCT((Transactions!$C$2:$C$47=A5)*(Transactions!$G$2:$G$47="Diesel")*Transactions!$H$2:$H$47)</f>
        <v>1282.51</v>
      </c>
      <c r="C5" s="3" t="n">
        <f aca="false">SUMPRODUCT((Transactions!$C$2:$C$47=A5)*(Transactions!$G$2:$G$47="Diesel")*Transactions!$M$2:$M$47)</f>
        <v>7461.65</v>
      </c>
      <c r="D5" s="8" t="n">
        <f aca="false">C5/B5</f>
        <v>5.81800531769733</v>
      </c>
    </row>
    <row r="6" customFormat="false" ht="15" hidden="false" customHeight="false" outlineLevel="0" collapsed="false">
      <c r="A6" s="2" t="s">
        <v>66</v>
      </c>
      <c r="B6" s="3" t="n">
        <f aca="false">SUMPRODUCT((Transactions!$C$2:$C$47=A6)*(Transactions!$G$2:$G$47="Diesel")*Transactions!$H$2:$H$47)</f>
        <v>350</v>
      </c>
      <c r="C6" s="3" t="n">
        <f aca="false">SUMPRODUCT((Transactions!$C$2:$C$47=A6)*(Transactions!$G$2:$G$47="Diesel")*Transactions!$M$2:$M$47)</f>
        <v>2046.45</v>
      </c>
      <c r="D6" s="8" t="n">
        <f aca="false">C6/B6</f>
        <v>5.847</v>
      </c>
    </row>
    <row r="7" customFormat="false" ht="15" hidden="false" customHeight="false" outlineLevel="0" collapsed="false">
      <c r="A7" s="2" t="s">
        <v>36</v>
      </c>
      <c r="B7" s="3" t="n">
        <f aca="false">SUMPRODUCT((Transactions!$C$2:$C$47=A7)*(Transactions!$G$2:$G$47="Diesel")*Transactions!$H$2:$H$47)</f>
        <v>550</v>
      </c>
      <c r="C7" s="3" t="n">
        <f aca="false">SUMPRODUCT((Transactions!$C$2:$C$47=A7)*(Transactions!$G$2:$G$47="Diesel")*Transactions!$M$2:$M$47)</f>
        <v>3253.8</v>
      </c>
      <c r="D7" s="8" t="n">
        <f aca="false">C7/B7</f>
        <v>5.916</v>
      </c>
    </row>
    <row r="8" customFormat="false" ht="15" hidden="false" customHeight="false" outlineLevel="0" collapsed="false">
      <c r="A8" s="2" t="s">
        <v>62</v>
      </c>
      <c r="B8" s="3" t="n">
        <f aca="false">SUMPRODUCT((Transactions!$C$2:$C$47=A8)*(Transactions!$G$2:$G$47="Diesel")*Transactions!$H$2:$H$47)</f>
        <v>664.86</v>
      </c>
      <c r="C8" s="3" t="n">
        <f aca="false">SUMPRODUCT((Transactions!$C$2:$C$47=A8)*(Transactions!$G$2:$G$47="Diesel")*Transactions!$M$2:$M$47)</f>
        <v>3926.67</v>
      </c>
      <c r="D8" s="8" t="n">
        <f aca="false">C8/B8</f>
        <v>5.90601028788016</v>
      </c>
    </row>
    <row r="9" customFormat="false" ht="15" hidden="false" customHeight="false" outlineLevel="0" collapsed="false">
      <c r="A9" s="2" t="s">
        <v>48</v>
      </c>
      <c r="B9" s="3" t="n">
        <f aca="false">SUMPRODUCT((Transactions!$C$2:$C$47=A9)*(Transactions!$G$2:$G$47="Diesel")*Transactions!$H$2:$H$47)</f>
        <v>670.01</v>
      </c>
      <c r="C9" s="3" t="n">
        <f aca="false">SUMPRODUCT((Transactions!$C$2:$C$47=A9)*(Transactions!$G$2:$G$47="Diesel")*Transactions!$M$2:$M$47)</f>
        <v>3920.23</v>
      </c>
      <c r="D9" s="8" t="n">
        <f aca="false">C9/B9</f>
        <v>5.85100222384741</v>
      </c>
    </row>
    <row r="10" customFormat="false" ht="15" hidden="false" customHeight="false" outlineLevel="0" collapsed="false">
      <c r="A10" s="2" t="s">
        <v>33</v>
      </c>
      <c r="B10" s="3" t="n">
        <f aca="false">SUMPRODUCT((Transactions!$C$2:$C$47=A10)*(Transactions!$G$2:$G$47="Diesel")*Transactions!$H$2:$H$47)</f>
        <v>2475.94</v>
      </c>
      <c r="C10" s="3" t="n">
        <f aca="false">SUMPRODUCT((Transactions!$C$2:$C$47=A10)*(Transactions!$G$2:$G$47="Diesel")*Transactions!$M$2:$M$47)</f>
        <v>14486.71</v>
      </c>
      <c r="D10" s="8" t="n">
        <f aca="false">C10/B10</f>
        <v>5.85099396592809</v>
      </c>
    </row>
    <row r="11" customFormat="false" ht="15" hidden="false" customHeight="false" outlineLevel="0" collapsed="false">
      <c r="A11" s="2" t="s">
        <v>27</v>
      </c>
      <c r="B11" s="3" t="n">
        <f aca="false">SUMPRODUCT((Transactions!$C$2:$C$47=A11)*(Transactions!$G$2:$G$47="Diesel")*Transactions!$H$2:$H$47)</f>
        <v>250.03</v>
      </c>
      <c r="C11" s="3" t="n">
        <f aca="false">SUMPRODUCT((Transactions!$C$2:$C$47=A11)*(Transactions!$G$2:$G$47="Diesel")*Transactions!$M$2:$M$47)</f>
        <v>1437.67</v>
      </c>
      <c r="D11" s="8" t="n">
        <f aca="false">C11/B11</f>
        <v>5.74999000119986</v>
      </c>
    </row>
    <row r="12" customFormat="false" ht="15" hidden="false" customHeight="false" outlineLevel="0" collapsed="false">
      <c r="A12" s="2" t="s">
        <v>17</v>
      </c>
      <c r="B12" s="3" t="n">
        <f aca="false">SUMPRODUCT((Transactions!$C$2:$C$47=A12)*(Transactions!$G$2:$G$47="Diesel")*Transactions!$H$2:$H$47)</f>
        <v>300</v>
      </c>
      <c r="C12" s="3" t="n">
        <f aca="false">SUMPRODUCT((Transactions!$C$2:$C$47=A12)*(Transactions!$G$2:$G$47="Diesel")*Transactions!$M$2:$M$47)</f>
        <v>1677.9</v>
      </c>
      <c r="D12" s="8" t="n">
        <f aca="false">C12/B12</f>
        <v>5.593</v>
      </c>
    </row>
    <row r="13" customFormat="false" ht="15" hidden="false" customHeight="false" outlineLevel="0" collapsed="false">
      <c r="A13" s="2" t="s">
        <v>28</v>
      </c>
      <c r="B13" s="3" t="n">
        <f aca="false">SUMPRODUCT((Transactions!$C$2:$C$47=A13)*(Transactions!$G$2:$G$47="Diesel")*Transactions!$H$2:$H$47)</f>
        <v>1733.84</v>
      </c>
      <c r="C13" s="3" t="n">
        <f aca="false">SUMPRODUCT((Transactions!$C$2:$C$47=A13)*(Transactions!$G$2:$G$47="Diesel")*Transactions!$M$2:$M$47)</f>
        <v>9361.01</v>
      </c>
      <c r="D13" s="8" t="n">
        <f aca="false">C13/B13</f>
        <v>5.39900452175518</v>
      </c>
    </row>
    <row r="14" customFormat="false" ht="15" hidden="false" customHeight="false" outlineLevel="0" collapsed="false">
      <c r="A14" s="2" t="s">
        <v>30</v>
      </c>
      <c r="B14" s="3" t="n">
        <f aca="false">SUMPRODUCT((Transactions!$C$2:$C$47=A14)*(Transactions!$G$2:$G$47="Diesel")*Transactions!$H$2:$H$47)</f>
        <v>400.04</v>
      </c>
      <c r="C14" s="3" t="n">
        <f aca="false">SUMPRODUCT((Transactions!$C$2:$C$47=A14)*(Transactions!$G$2:$G$47="Diesel")*Transactions!$M$2:$M$47)</f>
        <v>2151.01</v>
      </c>
      <c r="D14" s="8" t="n">
        <f aca="false">C14/B14</f>
        <v>5.37698730126987</v>
      </c>
    </row>
    <row r="15" customFormat="false" ht="15" hidden="false" customHeight="false" outlineLevel="0" collapsed="false">
      <c r="A15" s="2" t="s">
        <v>82</v>
      </c>
      <c r="B15" s="3" t="n">
        <f aca="false">SUMPRODUCT((Transactions!$C$2:$C$47=A15)*(Transactions!$G$2:$G$47="Diesel")*Transactions!$H$2:$H$47)</f>
        <v>300.53</v>
      </c>
      <c r="C15" s="3" t="n">
        <f aca="false">SUMPRODUCT((Transactions!$C$2:$C$47=A15)*(Transactions!$G$2:$G$47="Diesel")*Transactions!$M$2:$M$47)</f>
        <v>1615.95</v>
      </c>
      <c r="D15" s="8" t="n">
        <f aca="false">C15/B15</f>
        <v>5.37700063221642</v>
      </c>
    </row>
    <row r="16" customFormat="false" ht="15" hidden="false" customHeight="false" outlineLevel="0" collapsed="false">
      <c r="A16" s="2" t="s">
        <v>45</v>
      </c>
      <c r="B16" s="3" t="n">
        <f aca="false">SUMPRODUCT((Transactions!$C$2:$C$47=A16)*(Transactions!$G$2:$G$47="Diesel")*Transactions!$H$2:$H$47)</f>
        <v>1690</v>
      </c>
      <c r="C16" s="3" t="n">
        <f aca="false">SUMPRODUCT((Transactions!$C$2:$C$47=A16)*(Transactions!$G$2:$G$47="Diesel")*Transactions!$M$2:$M$47)</f>
        <v>9087.14</v>
      </c>
      <c r="D16" s="8" t="n">
        <f aca="false">C16/B16</f>
        <v>5.37700591715976</v>
      </c>
    </row>
    <row r="17" customFormat="false" ht="15" hidden="false" customHeight="false" outlineLevel="0" collapsed="false">
      <c r="A17" s="6" t="s">
        <v>88</v>
      </c>
      <c r="B17" s="7" t="n">
        <f aca="false">SUM(B3:B16)</f>
        <v>11544.39</v>
      </c>
      <c r="C17" s="7" t="n">
        <f aca="false">SUM(C3:C16)</f>
        <v>65526.42</v>
      </c>
      <c r="D17" s="9" t="n">
        <f aca="false">C17/B17</f>
        <v>5.67604005062199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2026-06-11T05:09:40Z</dcterms:created>
  <dc:creator>openpyxl</dc:creator>
  <dc:description/>
  <dc:language>en-US</dc:language>
  <cp:lastModifiedBy/>
  <dcterms:modified xsi:type="dcterms:W3CDTF">2026-06-11T05:09:40Z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