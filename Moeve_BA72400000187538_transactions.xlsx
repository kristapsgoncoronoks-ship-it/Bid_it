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 summary" sheetId="1" state="visible" r:id="rId3"/>
    <sheet name="Transactions" sheetId="2" state="visible" r:id="rId4"/>
    <sheet name="Plate totals check" sheetId="3" state="visible" r:id="rId5"/>
    <sheet name="Invoice totals check" sheetId="4" state="visible" r:id="rId6"/>
  </sheets>
  <definedNames>
    <definedName function="false" hidden="true" localSheetId="1" name="_xlnm._FilterDatabase" vbProcedure="false">Transactions!$A$1:$P$132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<sst xmlns="http://schemas.openxmlformats.org/spreadsheetml/2006/main" count="784" uniqueCount="215">
  <si>
    <t xml:space="preserve">MOEVE PRO BA72400000187538 - UAB Zaukos Transportas - PRICE OVERVIEW (Spain, May 2026)</t>
  </si>
  <si>
    <t xml:space="preserve">Diesel (STAR + Gasoleo A) by station</t>
  </si>
  <si>
    <t xml:space="preserve">Litres</t>
  </si>
  <si>
    <t xml:space="preserve">Final EUR incl VAT</t>
  </si>
  <si>
    <t xml:space="preserve">Eff. EUR/L incl VAT</t>
  </si>
  <si>
    <t xml:space="preserve">Eff. NET EUR/L excl VAT (10%)</t>
  </si>
  <si>
    <t xml:space="preserve">OIARTZUN I</t>
  </si>
  <si>
    <t xml:space="preserve">OIARTZUN II</t>
  </si>
  <si>
    <t xml:space="preserve">CANFRANC</t>
  </si>
  <si>
    <t xml:space="preserve">LA JUNQUERA</t>
  </si>
  <si>
    <t xml:space="preserve">EMPORDA</t>
  </si>
  <si>
    <t xml:space="preserve">IBARBURU</t>
  </si>
  <si>
    <t xml:space="preserve">VALLES NORTE</t>
  </si>
  <si>
    <t xml:space="preserve">ARAIA</t>
  </si>
  <si>
    <t xml:space="preserve">LANZ</t>
  </si>
  <si>
    <t xml:space="preserve">VILAMALLA</t>
  </si>
  <si>
    <t xml:space="preserve">REQUENA II</t>
  </si>
  <si>
    <t xml:space="preserve">TOTAL DIESEL (excl. April promo lines)</t>
  </si>
  <si>
    <t xml:space="preserve">April promo corrections (5 cts/L)</t>
  </si>
  <si>
    <t xml:space="preserve">ECOBLUE (AdBlue) all stations</t>
  </si>
  <si>
    <t xml:space="preserve">Note: Moeve computes at 6 decimals and rounds displayed amounts; summed rounded lines differ from invoice headline figures by max 3 cents - not an error. All amounts include Spanish IVA (diesel 10%, AdBlue 21%); discounts (PRN) are off pump PVP. April promo lines (-184.04 EUR) are 5 cts/L corrections for 13-22 April fills billed in this statement.</t>
  </si>
  <si>
    <t xml:space="preserve">Plate</t>
  </si>
  <si>
    <t xml:space="preserve">Date</t>
  </si>
  <si>
    <t xml:space="preserve">Time</t>
  </si>
  <si>
    <t xml:space="preserve">Station</t>
  </si>
  <si>
    <t xml:space="preserve">Concept</t>
  </si>
  <si>
    <t xml:space="preserve">Qty L</t>
  </si>
  <si>
    <t xml:space="preserve">PVP EUR/L (incl VAT)</t>
  </si>
  <si>
    <t xml:space="preserve">Operation EUR (calc qty x PVP)</t>
  </si>
  <si>
    <t xml:space="preserve">Discount EUR (PRN)</t>
  </si>
  <si>
    <t xml:space="preserve">Final EUR (incl VAT, doc)</t>
  </si>
  <si>
    <t xml:space="preserve">IVA %</t>
  </si>
  <si>
    <t xml:space="preserve">Paid cash EUR</t>
  </si>
  <si>
    <t xml:space="preserve">Eff. price EUR/L incl VAT</t>
  </si>
  <si>
    <t xml:space="preserve">Eff. net price EUR/L excl VAT</t>
  </si>
  <si>
    <t xml:space="preserve">Chk1: op-disc=final</t>
  </si>
  <si>
    <t xml:space="preserve">Chk2: vs doc op</t>
  </si>
  <si>
    <t xml:space="preserve">JEK861</t>
  </si>
  <si>
    <t xml:space="preserve">2026-05-30</t>
  </si>
  <si>
    <t xml:space="preserve">10:53</t>
  </si>
  <si>
    <t xml:space="preserve">DIESEL STAR</t>
  </si>
  <si>
    <t xml:space="preserve">ECOBLUE</t>
  </si>
  <si>
    <t xml:space="preserve">JFB350</t>
  </si>
  <si>
    <t xml:space="preserve">2026-05-27</t>
  </si>
  <si>
    <t xml:space="preserve">13:10</t>
  </si>
  <si>
    <t xml:space="preserve">JGA310</t>
  </si>
  <si>
    <t xml:space="preserve">2026-05-26</t>
  </si>
  <si>
    <t xml:space="preserve">16:09</t>
  </si>
  <si>
    <t xml:space="preserve">JGH283</t>
  </si>
  <si>
    <t xml:space="preserve">2026-05-25</t>
  </si>
  <si>
    <t xml:space="preserve">17:04</t>
  </si>
  <si>
    <t xml:space="preserve">17:16</t>
  </si>
  <si>
    <t xml:space="preserve">JHG876</t>
  </si>
  <si>
    <t xml:space="preserve">21:28</t>
  </si>
  <si>
    <t xml:space="preserve">JHJ165</t>
  </si>
  <si>
    <t xml:space="preserve">2026-04-13</t>
  </si>
  <si>
    <t xml:space="preserve">16:39</t>
  </si>
  <si>
    <t xml:space="preserve">Promo 5cts</t>
  </si>
  <si>
    <t xml:space="preserve">06:41</t>
  </si>
  <si>
    <t xml:space="preserve">17:48</t>
  </si>
  <si>
    <t xml:space="preserve">JJB021</t>
  </si>
  <si>
    <t xml:space="preserve">2026-05-18</t>
  </si>
  <si>
    <t xml:space="preserve">13:39</t>
  </si>
  <si>
    <t xml:space="preserve">JJC236</t>
  </si>
  <si>
    <t xml:space="preserve">2026-05-20</t>
  </si>
  <si>
    <t xml:space="preserve">18:43</t>
  </si>
  <si>
    <t xml:space="preserve">18:16</t>
  </si>
  <si>
    <t xml:space="preserve">JJH217</t>
  </si>
  <si>
    <t xml:space="preserve">2026-05-22</t>
  </si>
  <si>
    <t xml:space="preserve">18:26</t>
  </si>
  <si>
    <t xml:space="preserve">2026-05-29</t>
  </si>
  <si>
    <t xml:space="preserve">12:51</t>
  </si>
  <si>
    <t xml:space="preserve">13:09</t>
  </si>
  <si>
    <t xml:space="preserve">JJH675</t>
  </si>
  <si>
    <t xml:space="preserve">08:58</t>
  </si>
  <si>
    <t xml:space="preserve">JUG470</t>
  </si>
  <si>
    <t xml:space="preserve">13:38</t>
  </si>
  <si>
    <t xml:space="preserve">JZP879</t>
  </si>
  <si>
    <t xml:space="preserve">14:04</t>
  </si>
  <si>
    <t xml:space="preserve">KDC730</t>
  </si>
  <si>
    <t xml:space="preserve">2026-04-22</t>
  </si>
  <si>
    <t xml:space="preserve">11:37</t>
  </si>
  <si>
    <t xml:space="preserve">KSU544</t>
  </si>
  <si>
    <t xml:space="preserve">11:21</t>
  </si>
  <si>
    <t xml:space="preserve">11:41</t>
  </si>
  <si>
    <t xml:space="preserve">LGB510</t>
  </si>
  <si>
    <t xml:space="preserve">10:52</t>
  </si>
  <si>
    <t xml:space="preserve">19:31</t>
  </si>
  <si>
    <t xml:space="preserve">LTU873</t>
  </si>
  <si>
    <t xml:space="preserve">15:39</t>
  </si>
  <si>
    <t xml:space="preserve">15:45</t>
  </si>
  <si>
    <t xml:space="preserve">15:53</t>
  </si>
  <si>
    <t xml:space="preserve">MGP870</t>
  </si>
  <si>
    <t xml:space="preserve">15:29</t>
  </si>
  <si>
    <t xml:space="preserve">MHR974</t>
  </si>
  <si>
    <t xml:space="preserve">21:27</t>
  </si>
  <si>
    <t xml:space="preserve">MIJ641</t>
  </si>
  <si>
    <t xml:space="preserve">19:49</t>
  </si>
  <si>
    <t xml:space="preserve">20:29</t>
  </si>
  <si>
    <t xml:space="preserve">MJD164</t>
  </si>
  <si>
    <t xml:space="preserve">16:48</t>
  </si>
  <si>
    <t xml:space="preserve">MJS272</t>
  </si>
  <si>
    <t xml:space="preserve">2026-05-19</t>
  </si>
  <si>
    <t xml:space="preserve">13:57</t>
  </si>
  <si>
    <t xml:space="preserve">14:33</t>
  </si>
  <si>
    <t xml:space="preserve">MPF855</t>
  </si>
  <si>
    <t xml:space="preserve">2026-05-21</t>
  </si>
  <si>
    <t xml:space="preserve">10:31</t>
  </si>
  <si>
    <t xml:space="preserve">MPI588</t>
  </si>
  <si>
    <t xml:space="preserve">MSE954</t>
  </si>
  <si>
    <t xml:space="preserve">2026-05-23</t>
  </si>
  <si>
    <t xml:space="preserve">11:20</t>
  </si>
  <si>
    <t xml:space="preserve">MSE956</t>
  </si>
  <si>
    <t xml:space="preserve">09:09</t>
  </si>
  <si>
    <t xml:space="preserve">MSE957</t>
  </si>
  <si>
    <t xml:space="preserve">05:53</t>
  </si>
  <si>
    <t xml:space="preserve">12:23</t>
  </si>
  <si>
    <t xml:space="preserve">MTC611</t>
  </si>
  <si>
    <t xml:space="preserve">12:18</t>
  </si>
  <si>
    <t xml:space="preserve">12:25</t>
  </si>
  <si>
    <t xml:space="preserve">MTC612</t>
  </si>
  <si>
    <t xml:space="preserve">14:50</t>
  </si>
  <si>
    <t xml:space="preserve">NBU158</t>
  </si>
  <si>
    <t xml:space="preserve">15:06</t>
  </si>
  <si>
    <t xml:space="preserve">15:20</t>
  </si>
  <si>
    <t xml:space="preserve">NBU348</t>
  </si>
  <si>
    <t xml:space="preserve">09:19</t>
  </si>
  <si>
    <t xml:space="preserve">NBU349</t>
  </si>
  <si>
    <t xml:space="preserve">06:12</t>
  </si>
  <si>
    <t xml:space="preserve">17:33</t>
  </si>
  <si>
    <t xml:space="preserve">NFR426</t>
  </si>
  <si>
    <t xml:space="preserve">18:02</t>
  </si>
  <si>
    <t xml:space="preserve">16:35</t>
  </si>
  <si>
    <t xml:space="preserve">17:00</t>
  </si>
  <si>
    <t xml:space="preserve">NGI311</t>
  </si>
  <si>
    <t xml:space="preserve">11:00</t>
  </si>
  <si>
    <t xml:space="preserve">GASOLEO A</t>
  </si>
  <si>
    <t xml:space="preserve">20:39</t>
  </si>
  <si>
    <t xml:space="preserve">NHZ617</t>
  </si>
  <si>
    <t xml:space="preserve">18:49</t>
  </si>
  <si>
    <t xml:space="preserve">NHZ648</t>
  </si>
  <si>
    <t xml:space="preserve">19:57</t>
  </si>
  <si>
    <t xml:space="preserve">NNB179</t>
  </si>
  <si>
    <t xml:space="preserve">18:09</t>
  </si>
  <si>
    <t xml:space="preserve">NNE298</t>
  </si>
  <si>
    <t xml:space="preserve">10:42</t>
  </si>
  <si>
    <t xml:space="preserve">14:03</t>
  </si>
  <si>
    <t xml:space="preserve">NOD192</t>
  </si>
  <si>
    <t xml:space="preserve">16:23</t>
  </si>
  <si>
    <t xml:space="preserve">NPC243</t>
  </si>
  <si>
    <t xml:space="preserve">12:43</t>
  </si>
  <si>
    <t xml:space="preserve">NPC244</t>
  </si>
  <si>
    <t xml:space="preserve">18:47</t>
  </si>
  <si>
    <t xml:space="preserve">NPC245</t>
  </si>
  <si>
    <t xml:space="preserve">20:51</t>
  </si>
  <si>
    <t xml:space="preserve">NPF270</t>
  </si>
  <si>
    <t xml:space="preserve">13:31</t>
  </si>
  <si>
    <t xml:space="preserve">NSA581</t>
  </si>
  <si>
    <t xml:space="preserve">09:54</t>
  </si>
  <si>
    <t xml:space="preserve">NSA582</t>
  </si>
  <si>
    <t xml:space="preserve">22:24</t>
  </si>
  <si>
    <t xml:space="preserve">NSA587</t>
  </si>
  <si>
    <t xml:space="preserve">2026-05-16</t>
  </si>
  <si>
    <t xml:space="preserve">14:27</t>
  </si>
  <si>
    <t xml:space="preserve">NSA591</t>
  </si>
  <si>
    <t xml:space="preserve">13:46</t>
  </si>
  <si>
    <t xml:space="preserve">13:30</t>
  </si>
  <si>
    <t xml:space="preserve">NSA592</t>
  </si>
  <si>
    <t xml:space="preserve">15:51</t>
  </si>
  <si>
    <t xml:space="preserve">15:54</t>
  </si>
  <si>
    <t xml:space="preserve">NSA617</t>
  </si>
  <si>
    <t xml:space="preserve">19:05</t>
  </si>
  <si>
    <t xml:space="preserve">10:02</t>
  </si>
  <si>
    <t xml:space="preserve">NSD794</t>
  </si>
  <si>
    <t xml:space="preserve">14:10</t>
  </si>
  <si>
    <t xml:space="preserve">14:21</t>
  </si>
  <si>
    <t xml:space="preserve">NSD810</t>
  </si>
  <si>
    <t xml:space="preserve">13:20</t>
  </si>
  <si>
    <t xml:space="preserve">07:50</t>
  </si>
  <si>
    <t xml:space="preserve">NYA903</t>
  </si>
  <si>
    <t xml:space="preserve">08:34</t>
  </si>
  <si>
    <t xml:space="preserve">Tolerance ±0.025: invoice states amounts are computed internally at 6 decimals while PVP is displayed at 3 decimals, so recomputation from displayed figures drifts up to 2 cents (e.g. MIJ641 27-05 19:49).</t>
  </si>
  <si>
    <t xml:space="preserve">Stated total EUR</t>
  </si>
  <si>
    <t xml:space="preserve">Calc sum of finals</t>
  </si>
  <si>
    <t xml:space="preserve">Diff</t>
  </si>
  <si>
    <t xml:space="preserve">Check (±0.03 rounding)</t>
  </si>
  <si>
    <t xml:space="preserve">TOTAL</t>
  </si>
  <si>
    <t xml:space="preserve">Check item</t>
  </si>
  <si>
    <t xml:space="preserve">Invoice states</t>
  </si>
  <si>
    <t xml:space="preserve">Calculated from lines</t>
  </si>
  <si>
    <t xml:space="preserve">Check</t>
  </si>
  <si>
    <t xml:space="preserve">Tolerance note</t>
  </si>
  <si>
    <t xml:space="preserve">DIESEL STAR litres</t>
  </si>
  <si>
    <t xml:space="preserve">DIESEL STAR gross before disc EUR</t>
  </si>
  <si>
    <t xml:space="preserve">6-decimal rounding</t>
  </si>
  <si>
    <t xml:space="preserve">DIESEL STAR final EUR (concept summary 58,008.86)</t>
  </si>
  <si>
    <t xml:space="preserve">GASOLEO A litres</t>
  </si>
  <si>
    <t xml:space="preserve">GASOLEO A gross before disc EUR</t>
  </si>
  <si>
    <t xml:space="preserve">GASOLEO A final EUR</t>
  </si>
  <si>
    <t xml:space="preserve">ECOBLUE litres</t>
  </si>
  <si>
    <t xml:space="preserve">ECOBLUE gross before disc EUR</t>
  </si>
  <si>
    <t xml:space="preserve">ECOBLUE final EUR (concept summary 1,209.33)</t>
  </si>
  <si>
    <t xml:space="preserve">Discount at 10% IVA EUR</t>
  </si>
  <si>
    <t xml:space="preserve">Discount at 21% IVA EUR</t>
  </si>
  <si>
    <t xml:space="preserve">Final at 10% IVA EUR (gross)</t>
  </si>
  <si>
    <t xml:space="preserve">  implied base 10%</t>
  </si>
  <si>
    <t xml:space="preserve">doc: 54,628.42 / cuota 5,462.84</t>
  </si>
  <si>
    <t xml:space="preserve">Final at 21% IVA EUR (gross)</t>
  </si>
  <si>
    <t xml:space="preserve">  implied base 21%</t>
  </si>
  <si>
    <t xml:space="preserve">doc: 996.61 / cuota 209.28</t>
  </si>
  <si>
    <t xml:space="preserve">TOTAL DOCUMENT EUR</t>
  </si>
  <si>
    <t xml:space="preserve">Paid cash (al contado) EUR</t>
  </si>
  <si>
    <t xml:space="preserve">MIJ641 27-05 fills</t>
  </si>
  <si>
    <t xml:space="preserve">Amount to settle by transfer EUR</t>
  </si>
  <si>
    <t xml:space="preserve">due 30-06-2026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</si>
</sst>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000"/>
    <numFmt numFmtId="167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E5FA8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E5FA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E5F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4" min="3" style="1" width="15"/>
    <col collapsed="false" customWidth="true" hidden="false" outlineLevel="0" max="5" min="5" style="1" width="17"/>
  </cols>
  <sheetData>
    <row r="1" customFormat="false" ht="15" hidden="false" customHeight="true" outlineLevel="0" collapsed="false">
      <c r="A1" s="2" t="s">
        <v>0</v>
      </c>
    </row>
    <row r="3" customFormat="false" ht="21.7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customFormat="false" ht="15" hidden="false" customHeight="true" outlineLevel="0" collapsed="false">
      <c r="A4" s="4" t="s">
        <v>6</v>
      </c>
      <c r="B4" s="5" t="n">
        <f aca="false">SUMPRODUCT((Transactions!$D$2:$D$132=A4)*((Transactions!$E$2:$E$132="DIESEL STAR")+(Transactions!$E$2:$E$132="GASOLEO A"))*Transactions!$F$2:$F$132)</f>
        <v>9387.23</v>
      </c>
      <c r="C4" s="5" t="n">
        <f aca="false">ROUND(SUMPRODUCT((Transactions!$D$2:$D$132=A4)*((Transactions!$E$2:$E$132="DIESEL STAR")+(Transactions!$E$2:$E$132="GASOLEO A"))*Transactions!$J$2:$J$132),2)</f>
        <v>13753.01</v>
      </c>
      <c r="D4" s="6" t="n">
        <f aca="false">C4/B4</f>
        <v>1.46507649221336</v>
      </c>
      <c r="E4" s="6" t="n">
        <f aca="false">D4/1.1</f>
        <v>1.33188772019396</v>
      </c>
    </row>
    <row r="5" customFormat="false" ht="15" hidden="false" customHeight="true" outlineLevel="0" collapsed="false">
      <c r="A5" s="4" t="s">
        <v>7</v>
      </c>
      <c r="B5" s="5" t="n">
        <f aca="false">SUMPRODUCT((Transactions!$D$2:$D$132=A5)*((Transactions!$E$2:$E$132="DIESEL STAR")+(Transactions!$E$2:$E$132="GASOLEO A"))*Transactions!$F$2:$F$132)</f>
        <v>10179.58</v>
      </c>
      <c r="C5" s="5" t="n">
        <f aca="false">ROUND(SUMPRODUCT((Transactions!$D$2:$D$132=A5)*((Transactions!$E$2:$E$132="DIESEL STAR")+(Transactions!$E$2:$E$132="GASOLEO A"))*Transactions!$J$2:$J$132),2)</f>
        <v>15041.87</v>
      </c>
      <c r="D5" s="6" t="n">
        <f aca="false">C5/B5</f>
        <v>1.47765133728504</v>
      </c>
      <c r="E5" s="6" t="n">
        <f aca="false">D5/1.1</f>
        <v>1.34331939753185</v>
      </c>
    </row>
    <row r="6" customFormat="false" ht="15" hidden="false" customHeight="true" outlineLevel="0" collapsed="false">
      <c r="A6" s="4" t="s">
        <v>8</v>
      </c>
      <c r="B6" s="5" t="n">
        <f aca="false">SUMPRODUCT((Transactions!$D$2:$D$132=A6)*((Transactions!$E$2:$E$132="DIESEL STAR")+(Transactions!$E$2:$E$132="GASOLEO A"))*Transactions!$F$2:$F$132)</f>
        <v>7537.84</v>
      </c>
      <c r="C6" s="5" t="n">
        <f aca="false">ROUND(SUMPRODUCT((Transactions!$D$2:$D$132=A6)*((Transactions!$E$2:$E$132="DIESEL STAR")+(Transactions!$E$2:$E$132="GASOLEO A"))*Transactions!$J$2:$J$132),2)</f>
        <v>11873.23</v>
      </c>
      <c r="D6" s="6" t="n">
        <f aca="false">C6/B6</f>
        <v>1.57515017564713</v>
      </c>
      <c r="E6" s="6" t="n">
        <f aca="false">D6/1.1</f>
        <v>1.43195470513376</v>
      </c>
    </row>
    <row r="7" customFormat="false" ht="15" hidden="false" customHeight="true" outlineLevel="0" collapsed="false">
      <c r="A7" s="4" t="s">
        <v>9</v>
      </c>
      <c r="B7" s="5" t="n">
        <f aca="false">SUMPRODUCT((Transactions!$D$2:$D$132=A7)*((Transactions!$E$2:$E$132="DIESEL STAR")+(Transactions!$E$2:$E$132="GASOLEO A"))*Transactions!$F$2:$F$132)</f>
        <v>5905.52</v>
      </c>
      <c r="C7" s="5" t="n">
        <f aca="false">ROUND(SUMPRODUCT((Transactions!$D$2:$D$132=A7)*((Transactions!$E$2:$E$132="DIESEL STAR")+(Transactions!$E$2:$E$132="GASOLEO A"))*Transactions!$J$2:$J$132),2)</f>
        <v>8835.57</v>
      </c>
      <c r="D7" s="6" t="n">
        <f aca="false">C7/B7</f>
        <v>1.4961544453325</v>
      </c>
      <c r="E7" s="6" t="n">
        <f aca="false">D7/1.1</f>
        <v>1.36014040484773</v>
      </c>
    </row>
    <row r="8" customFormat="false" ht="15" hidden="false" customHeight="true" outlineLevel="0" collapsed="false">
      <c r="A8" s="4" t="s">
        <v>10</v>
      </c>
      <c r="B8" s="5" t="n">
        <f aca="false">SUMPRODUCT((Transactions!$D$2:$D$132=A8)*((Transactions!$E$2:$E$132="DIESEL STAR")+(Transactions!$E$2:$E$132="GASOLEO A"))*Transactions!$F$2:$F$132)</f>
        <v>2481.73</v>
      </c>
      <c r="C8" s="5" t="n">
        <f aca="false">ROUND(SUMPRODUCT((Transactions!$D$2:$D$132=A8)*((Transactions!$E$2:$E$132="DIESEL STAR")+(Transactions!$E$2:$E$132="GASOLEO A"))*Transactions!$J$2:$J$132),2)</f>
        <v>3675.53</v>
      </c>
      <c r="D8" s="6" t="n">
        <f aca="false">C8/B8</f>
        <v>1.48103540675255</v>
      </c>
      <c r="E8" s="6" t="n">
        <f aca="false">D8/1.1</f>
        <v>1.3463958243205</v>
      </c>
    </row>
    <row r="9" customFormat="false" ht="15" hidden="false" customHeight="true" outlineLevel="0" collapsed="false">
      <c r="A9" s="4" t="s">
        <v>11</v>
      </c>
      <c r="B9" s="5" t="n">
        <f aca="false">SUMPRODUCT((Transactions!$D$2:$D$132=A9)*((Transactions!$E$2:$E$132="DIESEL STAR")+(Transactions!$E$2:$E$132="GASOLEO A"))*Transactions!$F$2:$F$132)</f>
        <v>1533.1</v>
      </c>
      <c r="C9" s="5" t="n">
        <f aca="false">ROUND(SUMPRODUCT((Transactions!$D$2:$D$132=A9)*((Transactions!$E$2:$E$132="DIESEL STAR")+(Transactions!$E$2:$E$132="GASOLEO A"))*Transactions!$J$2:$J$132),2)</f>
        <v>2141.62</v>
      </c>
      <c r="D9" s="6" t="n">
        <f aca="false">C9/B9</f>
        <v>1.39692127062814</v>
      </c>
      <c r="E9" s="6" t="n">
        <f aca="false">D9/1.1</f>
        <v>1.26992842784376</v>
      </c>
    </row>
    <row r="10" customFormat="false" ht="15" hidden="false" customHeight="true" outlineLevel="0" collapsed="false">
      <c r="A10" s="4" t="s">
        <v>12</v>
      </c>
      <c r="B10" s="5" t="n">
        <f aca="false">SUMPRODUCT((Transactions!$D$2:$D$132=A10)*((Transactions!$E$2:$E$132="DIESEL STAR")+(Transactions!$E$2:$E$132="GASOLEO A"))*Transactions!$F$2:$F$132)</f>
        <v>943.14</v>
      </c>
      <c r="C10" s="5" t="n">
        <f aca="false">ROUND(SUMPRODUCT((Transactions!$D$2:$D$132=A10)*((Transactions!$E$2:$E$132="DIESEL STAR")+(Transactions!$E$2:$E$132="GASOLEO A"))*Transactions!$J$2:$J$132),2)</f>
        <v>1313.99</v>
      </c>
      <c r="D10" s="6" t="n">
        <f aca="false">C10/B10</f>
        <v>1.39320779523719</v>
      </c>
      <c r="E10" s="6" t="n">
        <f aca="false">D10/1.1</f>
        <v>1.26655254112471</v>
      </c>
    </row>
    <row r="11" customFormat="false" ht="15" hidden="false" customHeight="true" outlineLevel="0" collapsed="false">
      <c r="A11" s="4" t="s">
        <v>13</v>
      </c>
      <c r="B11" s="5" t="n">
        <f aca="false">SUMPRODUCT((Transactions!$D$2:$D$132=A11)*((Transactions!$E$2:$E$132="DIESEL STAR")+(Transactions!$E$2:$E$132="GASOLEO A"))*Transactions!$F$2:$F$132)</f>
        <v>1142.64</v>
      </c>
      <c r="C11" s="5" t="n">
        <f aca="false">ROUND(SUMPRODUCT((Transactions!$D$2:$D$132=A11)*((Transactions!$E$2:$E$132="DIESEL STAR")+(Transactions!$E$2:$E$132="GASOLEO A"))*Transactions!$J$2:$J$132),2)</f>
        <v>1678.48</v>
      </c>
      <c r="D11" s="6" t="n">
        <f aca="false">C11/B11</f>
        <v>1.46894910032906</v>
      </c>
      <c r="E11" s="6" t="n">
        <f aca="false">D11/1.1</f>
        <v>1.33540827302642</v>
      </c>
    </row>
    <row r="12" customFormat="false" ht="15" hidden="false" customHeight="true" outlineLevel="0" collapsed="false">
      <c r="A12" s="4" t="s">
        <v>14</v>
      </c>
      <c r="B12" s="5" t="n">
        <f aca="false">SUMPRODUCT((Transactions!$D$2:$D$132=A12)*((Transactions!$E$2:$E$132="DIESEL STAR")+(Transactions!$E$2:$E$132="GASOLEO A"))*Transactions!$F$2:$F$132)</f>
        <v>712</v>
      </c>
      <c r="C12" s="5" t="n">
        <f aca="false">ROUND(SUMPRODUCT((Transactions!$D$2:$D$132=A12)*((Transactions!$E$2:$E$132="DIESEL STAR")+(Transactions!$E$2:$E$132="GASOLEO A"))*Transactions!$J$2:$J$132),2)</f>
        <v>1036.67</v>
      </c>
      <c r="D12" s="6" t="n">
        <f aca="false">C12/B12</f>
        <v>1.45599719101124</v>
      </c>
      <c r="E12" s="6" t="n">
        <f aca="false">D12/1.1</f>
        <v>1.32363381001021</v>
      </c>
    </row>
    <row r="13" customFormat="false" ht="15" hidden="false" customHeight="true" outlineLevel="0" collapsed="false">
      <c r="A13" s="4" t="s">
        <v>15</v>
      </c>
      <c r="B13" s="5" t="n">
        <f aca="false">SUMPRODUCT((Transactions!$D$2:$D$132=A13)*((Transactions!$E$2:$E$132="DIESEL STAR")+(Transactions!$E$2:$E$132="GASOLEO A"))*Transactions!$F$2:$F$132)</f>
        <v>403.64</v>
      </c>
      <c r="C13" s="5" t="n">
        <f aca="false">ROUND(SUMPRODUCT((Transactions!$D$2:$D$132=A13)*((Transactions!$E$2:$E$132="DIESEL STAR")+(Transactions!$E$2:$E$132="GASOLEO A"))*Transactions!$J$2:$J$132),2)</f>
        <v>588.51</v>
      </c>
      <c r="D13" s="6" t="n">
        <f aca="false">C13/B13</f>
        <v>1.45800713507086</v>
      </c>
      <c r="E13" s="6" t="n">
        <f aca="false">D13/1.1</f>
        <v>1.3254610318826</v>
      </c>
    </row>
    <row r="14" customFormat="false" ht="15" hidden="false" customHeight="true" outlineLevel="0" collapsed="false">
      <c r="A14" s="4" t="s">
        <v>16</v>
      </c>
      <c r="B14" s="5" t="n">
        <f aca="false">SUMPRODUCT((Transactions!$D$2:$D$132=A14)*((Transactions!$E$2:$E$132="DIESEL STAR")+(Transactions!$E$2:$E$132="GASOLEO A"))*Transactions!$F$2:$F$132)</f>
        <v>200.11</v>
      </c>
      <c r="C14" s="5" t="n">
        <f aca="false">ROUND(SUMPRODUCT((Transactions!$D$2:$D$132=A14)*((Transactions!$E$2:$E$132="DIESEL STAR")+(Transactions!$E$2:$E$132="GASOLEO A"))*Transactions!$J$2:$J$132),2)</f>
        <v>337.38</v>
      </c>
      <c r="D14" s="6" t="n">
        <f aca="false">C14/B14</f>
        <v>1.68597271500675</v>
      </c>
      <c r="E14" s="6" t="n">
        <f aca="false">D14/1.1</f>
        <v>1.53270246818795</v>
      </c>
    </row>
    <row r="15" customFormat="false" ht="15" hidden="false" customHeight="true" outlineLevel="0" collapsed="false">
      <c r="A15" s="7" t="s">
        <v>17</v>
      </c>
      <c r="B15" s="8" t="n">
        <f aca="false">SUM(B4:B14)</f>
        <v>40426.53</v>
      </c>
      <c r="C15" s="8" t="n">
        <f aca="false">SUM(C4:C14)</f>
        <v>60275.86</v>
      </c>
      <c r="D15" s="9" t="n">
        <f aca="false">C15/B15</f>
        <v>1.49099761963245</v>
      </c>
      <c r="E15" s="9" t="n">
        <f aca="false">D15/1.1</f>
        <v>1.35545238148405</v>
      </c>
    </row>
    <row r="16" customFormat="false" ht="15" hidden="false" customHeight="true" outlineLevel="0" collapsed="false">
      <c r="A16" s="4" t="s">
        <v>18</v>
      </c>
      <c r="B16" s="4"/>
      <c r="C16" s="5" t="n">
        <v>-184.04</v>
      </c>
      <c r="D16" s="6"/>
      <c r="E16" s="6"/>
    </row>
    <row r="17" customFormat="false" ht="15" hidden="false" customHeight="true" outlineLevel="0" collapsed="false">
      <c r="A17" s="4" t="s">
        <v>19</v>
      </c>
      <c r="B17" s="5" t="n">
        <f aca="false">SUMIF(Transactions!$E$2:$E$132,"ECOBLUE",Transactions!$F$2:$F$132)</f>
        <v>1902.3</v>
      </c>
      <c r="C17" s="5" t="n">
        <f aca="false">ROUND(SUMIF(Transactions!$E$2:$E$132,"ECOBLUE",Transactions!$J$2:$J$132),2)</f>
        <v>1209.36</v>
      </c>
      <c r="D17" s="6" t="n">
        <f aca="false">C17/B17</f>
        <v>0.635735688377228</v>
      </c>
      <c r="E17" s="6" t="n">
        <f aca="false">D17/1.21</f>
        <v>0.525401395353081</v>
      </c>
    </row>
    <row r="19" customFormat="false" ht="15" hidden="false" customHeight="true" outlineLevel="0" collapsed="false">
      <c r="A19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6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9" min="9" style="1" width="9"/>
    <col collapsed="false" customWidth="true" hidden="false" outlineLevel="0" max="10" min="10" style="1" width="11"/>
    <col collapsed="false" customWidth="true" hidden="false" outlineLevel="0" max="11" min="11" style="1" width="6"/>
    <col collapsed="false" customWidth="true" hidden="false" outlineLevel="0" max="12" min="12" style="1" width="9"/>
    <col collapsed="false" customWidth="true" hidden="false" outlineLevel="0" max="14" min="13" style="1" width="11"/>
    <col collapsed="false" customWidth="true" hidden="false" outlineLevel="0" max="16" min="15" style="1" width="10"/>
  </cols>
  <sheetData>
    <row r="1" customFormat="false" ht="42.75" hidden="false" customHeight="true" outlineLevel="0" collapsed="false">
      <c r="A1" s="3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</row>
    <row r="2" customFormat="false" ht="15" hidden="false" customHeight="true" outlineLevel="0" collapsed="false">
      <c r="A2" s="4" t="s">
        <v>37</v>
      </c>
      <c r="B2" s="4" t="s">
        <v>38</v>
      </c>
      <c r="C2" s="4" t="s">
        <v>39</v>
      </c>
      <c r="D2" s="4" t="s">
        <v>8</v>
      </c>
      <c r="E2" s="4" t="s">
        <v>40</v>
      </c>
      <c r="F2" s="5" t="n">
        <v>680.22</v>
      </c>
      <c r="G2" s="11" t="n">
        <v>1.799</v>
      </c>
      <c r="H2" s="5" t="n">
        <f aca="false">ROUND(F2*G2,2)</f>
        <v>1223.72</v>
      </c>
      <c r="I2" s="11" t="n">
        <v>-206.107</v>
      </c>
      <c r="J2" s="5" t="n">
        <v>1017.61</v>
      </c>
      <c r="K2" s="4" t="n">
        <v>10</v>
      </c>
      <c r="L2" s="5"/>
      <c r="M2" s="6" t="n">
        <f aca="false">IF(F2&gt;0,J2/F2,"")</f>
        <v>1.4960012936991</v>
      </c>
      <c r="N2" s="6" t="n">
        <f aca="false">IF(F2&gt;0,J2/F2/(1+K2/100),"")</f>
        <v>1.36000117609009</v>
      </c>
      <c r="O2" s="4" t="str">
        <f aca="false">IF(ABS(ROUND(F2*G2+I2,2)-J2)&lt;=0.025,"OK","CHECK")</f>
        <v>OK</v>
      </c>
      <c r="P2" s="4" t="str">
        <f aca="false">IF(F2=0,"promo line",IF(ABS(H2-F2*G2)&lt;=0.011,"OK","CHECK"))</f>
        <v>OK</v>
      </c>
    </row>
    <row r="3" customFormat="false" ht="15" hidden="false" customHeight="true" outlineLevel="0" collapsed="false">
      <c r="A3" s="4" t="s">
        <v>37</v>
      </c>
      <c r="B3" s="4" t="s">
        <v>38</v>
      </c>
      <c r="C3" s="4" t="s">
        <v>39</v>
      </c>
      <c r="D3" s="4" t="s">
        <v>8</v>
      </c>
      <c r="E3" s="4" t="s">
        <v>41</v>
      </c>
      <c r="F3" s="5" t="n">
        <v>29.52</v>
      </c>
      <c r="G3" s="11" t="n">
        <v>0.899</v>
      </c>
      <c r="H3" s="5" t="n">
        <f aca="false">ROUND(F3*G3,2)</f>
        <v>26.54</v>
      </c>
      <c r="I3" s="11" t="n">
        <v>0</v>
      </c>
      <c r="J3" s="5" t="n">
        <v>26.54</v>
      </c>
      <c r="K3" s="4" t="n">
        <v>21</v>
      </c>
      <c r="L3" s="5"/>
      <c r="M3" s="6" t="n">
        <f aca="false">IF(F3&gt;0,J3/F3,"")</f>
        <v>0.899051490514905</v>
      </c>
      <c r="N3" s="6" t="n">
        <f aca="false">IF(F3&gt;0,J3/F3/(1+K3/100),"")</f>
        <v>0.74301776075612</v>
      </c>
      <c r="O3" s="4" t="str">
        <f aca="false">IF(ABS(ROUND(F3*G3+I3,2)-J3)&lt;=0.025,"OK","CHECK")</f>
        <v>OK</v>
      </c>
      <c r="P3" s="4" t="str">
        <f aca="false">IF(F3=0,"promo line",IF(ABS(H3-F3*G3)&lt;=0.011,"OK","CHECK"))</f>
        <v>OK</v>
      </c>
    </row>
    <row r="4" customFormat="false" ht="15" hidden="false" customHeight="true" outlineLevel="0" collapsed="false">
      <c r="A4" s="4" t="s">
        <v>42</v>
      </c>
      <c r="B4" s="4" t="s">
        <v>43</v>
      </c>
      <c r="C4" s="4" t="s">
        <v>44</v>
      </c>
      <c r="D4" s="4" t="s">
        <v>7</v>
      </c>
      <c r="E4" s="4" t="s">
        <v>40</v>
      </c>
      <c r="F4" s="5" t="n">
        <v>828.14</v>
      </c>
      <c r="G4" s="11" t="n">
        <v>1.738</v>
      </c>
      <c r="H4" s="5" t="n">
        <f aca="false">ROUND(F4*G4,2)</f>
        <v>1439.31</v>
      </c>
      <c r="I4" s="11" t="n">
        <v>-266.661</v>
      </c>
      <c r="J4" s="5" t="n">
        <v>1172.65</v>
      </c>
      <c r="K4" s="4" t="n">
        <v>10</v>
      </c>
      <c r="L4" s="5"/>
      <c r="M4" s="6" t="n">
        <f aca="false">IF(F4&gt;0,J4/F4,"")</f>
        <v>1.41600454029512</v>
      </c>
      <c r="N4" s="6" t="n">
        <f aca="false">IF(F4&gt;0,J4/F4/(1+K4/100),"")</f>
        <v>1.28727685481374</v>
      </c>
      <c r="O4" s="4" t="str">
        <f aca="false">IF(ABS(ROUND(F4*G4+I4,2)-J4)&lt;=0.025,"OK","CHECK")</f>
        <v>OK</v>
      </c>
      <c r="P4" s="4" t="str">
        <f aca="false">IF(F4=0,"promo line",IF(ABS(H4-F4*G4)&lt;=0.011,"OK","CHECK"))</f>
        <v>OK</v>
      </c>
    </row>
    <row r="5" customFormat="false" ht="15" hidden="false" customHeight="true" outlineLevel="0" collapsed="false">
      <c r="A5" s="4" t="s">
        <v>42</v>
      </c>
      <c r="B5" s="4" t="s">
        <v>43</v>
      </c>
      <c r="C5" s="4" t="s">
        <v>44</v>
      </c>
      <c r="D5" s="4" t="s">
        <v>7</v>
      </c>
      <c r="E5" s="4" t="s">
        <v>41</v>
      </c>
      <c r="F5" s="5" t="n">
        <v>70.44</v>
      </c>
      <c r="G5" s="11" t="n">
        <v>0.995</v>
      </c>
      <c r="H5" s="5" t="n">
        <f aca="false">ROUND(F5*G5,2)</f>
        <v>70.09</v>
      </c>
      <c r="I5" s="11" t="n">
        <v>-34.093</v>
      </c>
      <c r="J5" s="5" t="n">
        <v>36</v>
      </c>
      <c r="K5" s="4" t="n">
        <v>21</v>
      </c>
      <c r="L5" s="5"/>
      <c r="M5" s="6" t="n">
        <f aca="false">IF(F5&gt;0,J5/F5,"")</f>
        <v>0.51107325383305</v>
      </c>
      <c r="N5" s="6" t="n">
        <f aca="false">IF(F5&gt;0,J5/F5/(1+K5/100),"")</f>
        <v>0.422374589944669</v>
      </c>
      <c r="O5" s="4" t="str">
        <f aca="false">IF(ABS(ROUND(F5*G5+I5,2)-J5)&lt;=0.025,"OK","CHECK")</f>
        <v>OK</v>
      </c>
      <c r="P5" s="4" t="str">
        <f aca="false">IF(F5=0,"promo line",IF(ABS(H5-F5*G5)&lt;=0.011,"OK","CHECK"))</f>
        <v>OK</v>
      </c>
    </row>
    <row r="6" customFormat="false" ht="15" hidden="false" customHeight="true" outlineLevel="0" collapsed="false">
      <c r="A6" s="4" t="s">
        <v>45</v>
      </c>
      <c r="B6" s="4" t="s">
        <v>46</v>
      </c>
      <c r="C6" s="4" t="s">
        <v>47</v>
      </c>
      <c r="D6" s="4" t="s">
        <v>7</v>
      </c>
      <c r="E6" s="4" t="s">
        <v>40</v>
      </c>
      <c r="F6" s="5" t="n">
        <v>740.22</v>
      </c>
      <c r="G6" s="11" t="n">
        <v>1.742</v>
      </c>
      <c r="H6" s="5" t="n">
        <f aca="false">ROUND(F6*G6,2)</f>
        <v>1289.46</v>
      </c>
      <c r="I6" s="11" t="n">
        <v>-233.169</v>
      </c>
      <c r="J6" s="5" t="n">
        <v>1056.29</v>
      </c>
      <c r="K6" s="4" t="n">
        <v>10</v>
      </c>
      <c r="L6" s="5"/>
      <c r="M6" s="6" t="n">
        <f aca="false">IF(F6&gt;0,J6/F6,"")</f>
        <v>1.42699467725811</v>
      </c>
      <c r="N6" s="6" t="n">
        <f aca="false">IF(F6&gt;0,J6/F6/(1+K6/100),"")</f>
        <v>1.29726788841647</v>
      </c>
      <c r="O6" s="4" t="str">
        <f aca="false">IF(ABS(ROUND(F6*G6+I6,2)-J6)&lt;=0.025,"OK","CHECK")</f>
        <v>OK</v>
      </c>
      <c r="P6" s="4" t="str">
        <f aca="false">IF(F6=0,"promo line",IF(ABS(H6-F6*G6)&lt;=0.011,"OK","CHECK"))</f>
        <v>OK</v>
      </c>
    </row>
    <row r="7" customFormat="false" ht="15" hidden="false" customHeight="true" outlineLevel="0" collapsed="false">
      <c r="A7" s="4" t="s">
        <v>48</v>
      </c>
      <c r="B7" s="4" t="s">
        <v>49</v>
      </c>
      <c r="C7" s="4" t="s">
        <v>50</v>
      </c>
      <c r="D7" s="4" t="s">
        <v>7</v>
      </c>
      <c r="E7" s="4" t="s">
        <v>40</v>
      </c>
      <c r="F7" s="5" t="n">
        <v>828.41</v>
      </c>
      <c r="G7" s="11" t="n">
        <v>1.742</v>
      </c>
      <c r="H7" s="5" t="n">
        <f aca="false">ROUND(F7*G7,2)</f>
        <v>1443.09</v>
      </c>
      <c r="I7" s="11" t="n">
        <v>-237.754</v>
      </c>
      <c r="J7" s="5" t="n">
        <v>1205.34</v>
      </c>
      <c r="K7" s="4" t="n">
        <v>10</v>
      </c>
      <c r="L7" s="5"/>
      <c r="M7" s="6" t="n">
        <f aca="false">IF(F7&gt;0,J7/F7,"")</f>
        <v>1.45500416460448</v>
      </c>
      <c r="N7" s="6" t="n">
        <f aca="false">IF(F7&gt;0,J7/F7/(1+K7/100),"")</f>
        <v>1.32273105873135</v>
      </c>
      <c r="O7" s="4" t="str">
        <f aca="false">IF(ABS(ROUND(F7*G7+I7,2)-J7)&lt;=0.025,"OK","CHECK")</f>
        <v>OK</v>
      </c>
      <c r="P7" s="4" t="str">
        <f aca="false">IF(F7=0,"promo line",IF(ABS(H7-F7*G7)&lt;=0.011,"OK","CHECK"))</f>
        <v>OK</v>
      </c>
    </row>
    <row r="8" customFormat="false" ht="15" hidden="false" customHeight="true" outlineLevel="0" collapsed="false">
      <c r="A8" s="4" t="s">
        <v>48</v>
      </c>
      <c r="B8" s="4" t="s">
        <v>49</v>
      </c>
      <c r="C8" s="4" t="s">
        <v>51</v>
      </c>
      <c r="D8" s="4" t="s">
        <v>7</v>
      </c>
      <c r="E8" s="4" t="s">
        <v>41</v>
      </c>
      <c r="F8" s="5" t="n">
        <v>43.17</v>
      </c>
      <c r="G8" s="11" t="n">
        <v>0.995</v>
      </c>
      <c r="H8" s="5" t="n">
        <f aca="false">ROUND(F8*G8,2)</f>
        <v>42.95</v>
      </c>
      <c r="I8" s="11" t="n">
        <v>-20.894</v>
      </c>
      <c r="J8" s="5" t="n">
        <v>22.06</v>
      </c>
      <c r="K8" s="4" t="n">
        <v>21</v>
      </c>
      <c r="L8" s="5"/>
      <c r="M8" s="6" t="n">
        <f aca="false">IF(F8&gt;0,J8/F8,"")</f>
        <v>0.511003011350475</v>
      </c>
      <c r="N8" s="6" t="n">
        <f aca="false">IF(F8&gt;0,J8/F8/(1+K8/100),"")</f>
        <v>0.422316538306178</v>
      </c>
      <c r="O8" s="4" t="str">
        <f aca="false">IF(ABS(ROUND(F8*G8+I8,2)-J8)&lt;=0.025,"OK","CHECK")</f>
        <v>OK</v>
      </c>
      <c r="P8" s="4" t="str">
        <f aca="false">IF(F8=0,"promo line",IF(ABS(H8-F8*G8)&lt;=0.011,"OK","CHECK"))</f>
        <v>OK</v>
      </c>
    </row>
    <row r="9" customFormat="false" ht="15" hidden="false" customHeight="true" outlineLevel="0" collapsed="false">
      <c r="A9" s="4" t="s">
        <v>52</v>
      </c>
      <c r="B9" s="4" t="s">
        <v>49</v>
      </c>
      <c r="C9" s="4" t="s">
        <v>53</v>
      </c>
      <c r="D9" s="4" t="s">
        <v>6</v>
      </c>
      <c r="E9" s="4" t="s">
        <v>41</v>
      </c>
      <c r="F9" s="5" t="n">
        <v>34.33</v>
      </c>
      <c r="G9" s="11" t="n">
        <v>0.995</v>
      </c>
      <c r="H9" s="5" t="n">
        <f aca="false">ROUND(F9*G9,2)</f>
        <v>34.16</v>
      </c>
      <c r="I9" s="11" t="n">
        <v>-16.616</v>
      </c>
      <c r="J9" s="5" t="n">
        <v>17.54</v>
      </c>
      <c r="K9" s="4" t="n">
        <v>21</v>
      </c>
      <c r="L9" s="5"/>
      <c r="M9" s="6" t="n">
        <f aca="false">IF(F9&gt;0,J9/F9,"")</f>
        <v>0.510923390620449</v>
      </c>
      <c r="N9" s="6" t="n">
        <f aca="false">IF(F9&gt;0,J9/F9/(1+K9/100),"")</f>
        <v>0.422250736049958</v>
      </c>
      <c r="O9" s="4" t="str">
        <f aca="false">IF(ABS(ROUND(F9*G9+I9,2)-J9)&lt;=0.025,"OK","CHECK")</f>
        <v>OK</v>
      </c>
      <c r="P9" s="4" t="str">
        <f aca="false">IF(F9=0,"promo line",IF(ABS(H9-F9*G9)&lt;=0.011,"OK","CHECK"))</f>
        <v>OK</v>
      </c>
    </row>
    <row r="10" customFormat="false" ht="15" hidden="false" customHeight="true" outlineLevel="0" collapsed="false">
      <c r="A10" s="4" t="s">
        <v>52</v>
      </c>
      <c r="B10" s="4" t="s">
        <v>49</v>
      </c>
      <c r="C10" s="4" t="s">
        <v>53</v>
      </c>
      <c r="D10" s="4" t="s">
        <v>6</v>
      </c>
      <c r="E10" s="4" t="s">
        <v>40</v>
      </c>
      <c r="F10" s="5" t="n">
        <v>769.1</v>
      </c>
      <c r="G10" s="11" t="n">
        <v>1.742</v>
      </c>
      <c r="H10" s="5" t="n">
        <f aca="false">ROUND(F10*G10,2)</f>
        <v>1339.77</v>
      </c>
      <c r="I10" s="11" t="n">
        <v>-220.732</v>
      </c>
      <c r="J10" s="5" t="n">
        <v>1119.04</v>
      </c>
      <c r="K10" s="4" t="n">
        <v>10</v>
      </c>
      <c r="L10" s="5"/>
      <c r="M10" s="6" t="n">
        <f aca="false">IF(F10&gt;0,J10/F10,"")</f>
        <v>1.45499934988948</v>
      </c>
      <c r="N10" s="6" t="n">
        <f aca="false">IF(F10&gt;0,J10/F10/(1+K10/100),"")</f>
        <v>1.32272668171771</v>
      </c>
      <c r="O10" s="4" t="str">
        <f aca="false">IF(ABS(ROUND(F10*G10+I10,2)-J10)&lt;=0.025,"OK","CHECK")</f>
        <v>OK</v>
      </c>
      <c r="P10" s="4" t="str">
        <f aca="false">IF(F10=0,"promo line",IF(ABS(H10-F10*G10)&lt;=0.011,"OK","CHECK"))</f>
        <v>OK</v>
      </c>
    </row>
    <row r="11" customFormat="false" ht="15" hidden="false" customHeight="true" outlineLevel="0" collapsed="false">
      <c r="A11" s="4" t="s">
        <v>54</v>
      </c>
      <c r="B11" s="4" t="s">
        <v>55</v>
      </c>
      <c r="C11" s="4" t="s">
        <v>56</v>
      </c>
      <c r="D11" s="4" t="s">
        <v>9</v>
      </c>
      <c r="E11" s="4" t="s">
        <v>57</v>
      </c>
      <c r="F11" s="5" t="n">
        <v>0</v>
      </c>
      <c r="G11" s="11" t="n">
        <v>0.899</v>
      </c>
      <c r="H11" s="5" t="n">
        <f aca="false">ROUND(F11*G11,2)</f>
        <v>0</v>
      </c>
      <c r="I11" s="11" t="n">
        <v>-0.45</v>
      </c>
      <c r="J11" s="5" t="n">
        <v>-0.45</v>
      </c>
      <c r="K11" s="4" t="n">
        <v>21</v>
      </c>
      <c r="L11" s="5"/>
      <c r="M11" s="6" t="str">
        <f aca="false">IF(F11&gt;0,J11/F11,"")</f>
        <v/>
      </c>
      <c r="N11" s="6" t="str">
        <f aca="false">IF(F11&gt;0,J11/F11/(1+K11/100),"")</f>
        <v/>
      </c>
      <c r="O11" s="4" t="str">
        <f aca="false">IF(ABS(ROUND(F11*G11+I11,2)-J11)&lt;=0.025,"OK","CHECK")</f>
        <v>OK</v>
      </c>
      <c r="P11" s="4" t="str">
        <f aca="false">IF(F11=0,"promo line",IF(ABS(H11-F11*G11)&lt;=0.011,"OK","CHECK"))</f>
        <v>promo line</v>
      </c>
    </row>
    <row r="12" customFormat="false" ht="15" hidden="false" customHeight="true" outlineLevel="0" collapsed="false">
      <c r="A12" s="4" t="s">
        <v>54</v>
      </c>
      <c r="B12" s="4" t="s">
        <v>55</v>
      </c>
      <c r="C12" s="4" t="s">
        <v>56</v>
      </c>
      <c r="D12" s="4" t="s">
        <v>9</v>
      </c>
      <c r="E12" s="4" t="s">
        <v>41</v>
      </c>
      <c r="F12" s="5" t="n">
        <v>8.99</v>
      </c>
      <c r="G12" s="11" t="n">
        <v>0.899</v>
      </c>
      <c r="H12" s="5" t="n">
        <f aca="false">ROUND(F12*G12,2)</f>
        <v>8.08</v>
      </c>
      <c r="I12" s="11" t="n">
        <v>-4.037</v>
      </c>
      <c r="J12" s="5" t="n">
        <v>4.04</v>
      </c>
      <c r="K12" s="4" t="n">
        <v>21</v>
      </c>
      <c r="L12" s="5"/>
      <c r="M12" s="6" t="n">
        <f aca="false">IF(F12&gt;0,J12/F12,"")</f>
        <v>0.449388209121246</v>
      </c>
      <c r="N12" s="6" t="n">
        <f aca="false">IF(F12&gt;0,J12/F12/(1+K12/100),"")</f>
        <v>0.37139521414979</v>
      </c>
      <c r="O12" s="4" t="str">
        <f aca="false">IF(ABS(ROUND(F12*G12+I12,2)-J12)&lt;=0.025,"OK","CHECK")</f>
        <v>OK</v>
      </c>
      <c r="P12" s="4" t="str">
        <f aca="false">IF(F12=0,"promo line",IF(ABS(H12-F12*G12)&lt;=0.011,"OK","CHECK"))</f>
        <v>OK</v>
      </c>
    </row>
    <row r="13" customFormat="false" ht="15" hidden="false" customHeight="true" outlineLevel="0" collapsed="false">
      <c r="A13" s="4" t="s">
        <v>54</v>
      </c>
      <c r="B13" s="4" t="s">
        <v>55</v>
      </c>
      <c r="C13" s="4" t="s">
        <v>56</v>
      </c>
      <c r="D13" s="4" t="s">
        <v>9</v>
      </c>
      <c r="E13" s="4" t="s">
        <v>40</v>
      </c>
      <c r="F13" s="5" t="n">
        <v>823.14</v>
      </c>
      <c r="G13" s="11" t="n">
        <v>1.924</v>
      </c>
      <c r="H13" s="5" t="n">
        <f aca="false">ROUND(F13*G13,2)</f>
        <v>1583.72</v>
      </c>
      <c r="I13" s="11" t="n">
        <v>-229.656</v>
      </c>
      <c r="J13" s="5" t="n">
        <v>1354.06</v>
      </c>
      <c r="K13" s="4" t="n">
        <v>10</v>
      </c>
      <c r="L13" s="5"/>
      <c r="M13" s="6" t="n">
        <f aca="false">IF(F13&gt;0,J13/F13,"")</f>
        <v>1.6449935612411</v>
      </c>
      <c r="N13" s="6" t="n">
        <f aca="false">IF(F13&gt;0,J13/F13/(1+K13/100),"")</f>
        <v>1.49544869203736</v>
      </c>
      <c r="O13" s="4" t="str">
        <f aca="false">IF(ABS(ROUND(F13*G13+I13,2)-J13)&lt;=0.025,"OK","CHECK")</f>
        <v>OK</v>
      </c>
      <c r="P13" s="4" t="str">
        <f aca="false">IF(F13=0,"promo line",IF(ABS(H13-F13*G13)&lt;=0.011,"OK","CHECK"))</f>
        <v>OK</v>
      </c>
    </row>
    <row r="14" customFormat="false" ht="15" hidden="false" customHeight="true" outlineLevel="0" collapsed="false">
      <c r="A14" s="4" t="s">
        <v>54</v>
      </c>
      <c r="B14" s="4" t="s">
        <v>55</v>
      </c>
      <c r="C14" s="4" t="s">
        <v>56</v>
      </c>
      <c r="D14" s="4" t="s">
        <v>9</v>
      </c>
      <c r="E14" s="4" t="s">
        <v>57</v>
      </c>
      <c r="F14" s="5" t="n">
        <v>0</v>
      </c>
      <c r="G14" s="11" t="n">
        <v>1.924</v>
      </c>
      <c r="H14" s="5" t="n">
        <f aca="false">ROUND(F14*G14,2)</f>
        <v>0</v>
      </c>
      <c r="I14" s="11" t="n">
        <v>-41.157</v>
      </c>
      <c r="J14" s="5" t="n">
        <v>-41.16</v>
      </c>
      <c r="K14" s="4" t="n">
        <v>10</v>
      </c>
      <c r="L14" s="5"/>
      <c r="M14" s="6" t="str">
        <f aca="false">IF(F14&gt;0,J14/F14,"")</f>
        <v/>
      </c>
      <c r="N14" s="6" t="str">
        <f aca="false">IF(F14&gt;0,J14/F14/(1+K14/100),"")</f>
        <v/>
      </c>
      <c r="O14" s="4" t="str">
        <f aca="false">IF(ABS(ROUND(F14*G14+I14,2)-J14)&lt;=0.025,"OK","CHECK")</f>
        <v>OK</v>
      </c>
      <c r="P14" s="4" t="str">
        <f aca="false">IF(F14=0,"promo line",IF(ABS(H14-F14*G14)&lt;=0.011,"OK","CHECK"))</f>
        <v>promo line</v>
      </c>
    </row>
    <row r="15" customFormat="false" ht="15" hidden="false" customHeight="true" outlineLevel="0" collapsed="false">
      <c r="A15" s="4" t="s">
        <v>54</v>
      </c>
      <c r="B15" s="4" t="s">
        <v>43</v>
      </c>
      <c r="C15" s="4" t="s">
        <v>58</v>
      </c>
      <c r="D15" s="4" t="s">
        <v>9</v>
      </c>
      <c r="E15" s="4" t="s">
        <v>40</v>
      </c>
      <c r="F15" s="5" t="n">
        <v>512.37</v>
      </c>
      <c r="G15" s="11" t="n">
        <v>1.738</v>
      </c>
      <c r="H15" s="5" t="n">
        <f aca="false">ROUND(F15*G15,2)</f>
        <v>890.5</v>
      </c>
      <c r="I15" s="11" t="n">
        <v>-166.52</v>
      </c>
      <c r="J15" s="5" t="n">
        <v>723.98</v>
      </c>
      <c r="K15" s="4" t="n">
        <v>10</v>
      </c>
      <c r="L15" s="5"/>
      <c r="M15" s="6" t="n">
        <f aca="false">IF(F15&gt;0,J15/F15,"")</f>
        <v>1.41300232254035</v>
      </c>
      <c r="N15" s="6" t="n">
        <f aca="false">IF(F15&gt;0,J15/F15/(1+K15/100),"")</f>
        <v>1.28454756594577</v>
      </c>
      <c r="O15" s="4" t="str">
        <f aca="false">IF(ABS(ROUND(F15*G15+I15,2)-J15)&lt;=0.025,"OK","CHECK")</f>
        <v>OK</v>
      </c>
      <c r="P15" s="4" t="str">
        <f aca="false">IF(F15=0,"promo line",IF(ABS(H15-F15*G15)&lt;=0.011,"OK","CHECK"))</f>
        <v>OK</v>
      </c>
    </row>
    <row r="16" customFormat="false" ht="15" hidden="false" customHeight="true" outlineLevel="0" collapsed="false">
      <c r="A16" s="4" t="s">
        <v>54</v>
      </c>
      <c r="B16" s="4" t="s">
        <v>43</v>
      </c>
      <c r="C16" s="4" t="s">
        <v>58</v>
      </c>
      <c r="D16" s="4" t="s">
        <v>9</v>
      </c>
      <c r="E16" s="4" t="s">
        <v>41</v>
      </c>
      <c r="F16" s="5" t="n">
        <v>17.93</v>
      </c>
      <c r="G16" s="11" t="n">
        <v>0.995</v>
      </c>
      <c r="H16" s="5" t="n">
        <f aca="false">ROUND(F16*G16,2)</f>
        <v>17.84</v>
      </c>
      <c r="I16" s="11" t="n">
        <v>-8.678</v>
      </c>
      <c r="J16" s="5" t="n">
        <v>9.16</v>
      </c>
      <c r="K16" s="4" t="n">
        <v>21</v>
      </c>
      <c r="L16" s="5"/>
      <c r="M16" s="6" t="n">
        <f aca="false">IF(F16&gt;0,J16/F16,"")</f>
        <v>0.510875627440045</v>
      </c>
      <c r="N16" s="6" t="n">
        <f aca="false">IF(F16&gt;0,J16/F16/(1+K16/100),"")</f>
        <v>0.422211262347144</v>
      </c>
      <c r="O16" s="4" t="str">
        <f aca="false">IF(ABS(ROUND(F16*G16+I16,2)-J16)&lt;=0.025,"OK","CHECK")</f>
        <v>OK</v>
      </c>
      <c r="P16" s="4" t="str">
        <f aca="false">IF(F16=0,"promo line",IF(ABS(H16-F16*G16)&lt;=0.011,"OK","CHECK"))</f>
        <v>OK</v>
      </c>
    </row>
    <row r="17" customFormat="false" ht="15" hidden="false" customHeight="true" outlineLevel="0" collapsed="false">
      <c r="A17" s="4" t="s">
        <v>54</v>
      </c>
      <c r="B17" s="4" t="s">
        <v>43</v>
      </c>
      <c r="C17" s="4" t="s">
        <v>59</v>
      </c>
      <c r="D17" s="4" t="s">
        <v>9</v>
      </c>
      <c r="E17" s="4" t="s">
        <v>40</v>
      </c>
      <c r="F17" s="5" t="n">
        <v>91.02</v>
      </c>
      <c r="G17" s="11" t="n">
        <v>1.738</v>
      </c>
      <c r="H17" s="5" t="n">
        <f aca="false">ROUND(F17*G17,2)</f>
        <v>158.19</v>
      </c>
      <c r="I17" s="11" t="n">
        <v>-29.582</v>
      </c>
      <c r="J17" s="5" t="n">
        <v>128.61</v>
      </c>
      <c r="K17" s="4" t="n">
        <v>10</v>
      </c>
      <c r="L17" s="5"/>
      <c r="M17" s="6" t="n">
        <f aca="false">IF(F17&gt;0,J17/F17,"")</f>
        <v>1.4129861568886</v>
      </c>
      <c r="N17" s="6" t="n">
        <f aca="false">IF(F17&gt;0,J17/F17/(1+K17/100),"")</f>
        <v>1.28453286989872</v>
      </c>
      <c r="O17" s="4" t="str">
        <f aca="false">IF(ABS(ROUND(F17*G17+I17,2)-J17)&lt;=0.025,"OK","CHECK")</f>
        <v>OK</v>
      </c>
      <c r="P17" s="4" t="str">
        <f aca="false">IF(F17=0,"promo line",IF(ABS(H17-F17*G17)&lt;=0.011,"OK","CHECK"))</f>
        <v>OK</v>
      </c>
    </row>
    <row r="18" customFormat="false" ht="15" hidden="false" customHeight="true" outlineLevel="0" collapsed="false">
      <c r="A18" s="4" t="s">
        <v>60</v>
      </c>
      <c r="B18" s="4" t="s">
        <v>61</v>
      </c>
      <c r="C18" s="4" t="s">
        <v>62</v>
      </c>
      <c r="D18" s="4" t="s">
        <v>9</v>
      </c>
      <c r="E18" s="4" t="s">
        <v>40</v>
      </c>
      <c r="F18" s="5" t="n">
        <v>568.08</v>
      </c>
      <c r="G18" s="11" t="n">
        <v>1.749</v>
      </c>
      <c r="H18" s="5" t="n">
        <f aca="false">ROUND(F18*G18,2)</f>
        <v>993.57</v>
      </c>
      <c r="I18" s="11" t="n">
        <v>-163.039</v>
      </c>
      <c r="J18" s="5" t="n">
        <v>830.53</v>
      </c>
      <c r="K18" s="4" t="n">
        <v>10</v>
      </c>
      <c r="L18" s="5"/>
      <c r="M18" s="6" t="n">
        <f aca="false">IF(F18&gt;0,J18/F18,"")</f>
        <v>1.46199478946627</v>
      </c>
      <c r="N18" s="6" t="n">
        <f aca="false">IF(F18&gt;0,J18/F18/(1+K18/100),"")</f>
        <v>1.32908617224207</v>
      </c>
      <c r="O18" s="4" t="str">
        <f aca="false">IF(ABS(ROUND(F18*G18+I18,2)-J18)&lt;=0.025,"OK","CHECK")</f>
        <v>OK</v>
      </c>
      <c r="P18" s="4" t="str">
        <f aca="false">IF(F18=0,"promo line",IF(ABS(H18-F18*G18)&lt;=0.011,"OK","CHECK"))</f>
        <v>OK</v>
      </c>
    </row>
    <row r="19" customFormat="false" ht="15" hidden="false" customHeight="true" outlineLevel="0" collapsed="false">
      <c r="A19" s="4" t="s">
        <v>60</v>
      </c>
      <c r="B19" s="4" t="s">
        <v>61</v>
      </c>
      <c r="C19" s="4" t="s">
        <v>62</v>
      </c>
      <c r="D19" s="4" t="s">
        <v>9</v>
      </c>
      <c r="E19" s="4" t="s">
        <v>41</v>
      </c>
      <c r="F19" s="5" t="n">
        <v>4.99</v>
      </c>
      <c r="G19" s="11" t="n">
        <v>0.995</v>
      </c>
      <c r="H19" s="5" t="n">
        <f aca="false">ROUND(F19*G19,2)</f>
        <v>4.97</v>
      </c>
      <c r="I19" s="11" t="n">
        <v>-2.415</v>
      </c>
      <c r="J19" s="5" t="n">
        <v>2.55</v>
      </c>
      <c r="K19" s="4" t="n">
        <v>21</v>
      </c>
      <c r="L19" s="5"/>
      <c r="M19" s="6" t="n">
        <f aca="false">IF(F19&gt;0,J19/F19,"")</f>
        <v>0.511022044088176</v>
      </c>
      <c r="N19" s="6" t="n">
        <f aca="false">IF(F19&gt;0,J19/F19/(1+K19/100),"")</f>
        <v>0.422332267841468</v>
      </c>
      <c r="O19" s="4" t="str">
        <f aca="false">IF(ABS(ROUND(F19*G19+I19,2)-J19)&lt;=0.025,"OK","CHECK")</f>
        <v>OK</v>
      </c>
      <c r="P19" s="4" t="str">
        <f aca="false">IF(F19=0,"promo line",IF(ABS(H19-F19*G19)&lt;=0.011,"OK","CHECK"))</f>
        <v>OK</v>
      </c>
    </row>
    <row r="20" customFormat="false" ht="15" hidden="false" customHeight="true" outlineLevel="0" collapsed="false">
      <c r="A20" s="4" t="s">
        <v>63</v>
      </c>
      <c r="B20" s="4" t="s">
        <v>64</v>
      </c>
      <c r="C20" s="4" t="s">
        <v>65</v>
      </c>
      <c r="D20" s="4" t="s">
        <v>7</v>
      </c>
      <c r="E20" s="4" t="s">
        <v>41</v>
      </c>
      <c r="F20" s="5" t="n">
        <v>19.48</v>
      </c>
      <c r="G20" s="11" t="n">
        <v>0.995</v>
      </c>
      <c r="H20" s="5" t="n">
        <f aca="false">ROUND(F20*G20,2)</f>
        <v>19.38</v>
      </c>
      <c r="I20" s="11" t="n">
        <v>-9.428</v>
      </c>
      <c r="J20" s="5" t="n">
        <v>9.95</v>
      </c>
      <c r="K20" s="4" t="n">
        <v>21</v>
      </c>
      <c r="L20" s="5"/>
      <c r="M20" s="6" t="n">
        <f aca="false">IF(F20&gt;0,J20/F20,"")</f>
        <v>0.510780287474333</v>
      </c>
      <c r="N20" s="6" t="n">
        <f aca="false">IF(F20&gt;0,J20/F20/(1+K20/100),"")</f>
        <v>0.422132468987052</v>
      </c>
      <c r="O20" s="4" t="str">
        <f aca="false">IF(ABS(ROUND(F20*G20+I20,2)-J20)&lt;=0.025,"OK","CHECK")</f>
        <v>OK</v>
      </c>
      <c r="P20" s="4" t="str">
        <f aca="false">IF(F20=0,"promo line",IF(ABS(H20-F20*G20)&lt;=0.011,"OK","CHECK"))</f>
        <v>OK</v>
      </c>
    </row>
    <row r="21" customFormat="false" ht="15" hidden="false" customHeight="true" outlineLevel="0" collapsed="false">
      <c r="A21" s="4" t="s">
        <v>63</v>
      </c>
      <c r="B21" s="4" t="s">
        <v>64</v>
      </c>
      <c r="C21" s="4" t="s">
        <v>65</v>
      </c>
      <c r="D21" s="4" t="s">
        <v>7</v>
      </c>
      <c r="E21" s="4" t="s">
        <v>40</v>
      </c>
      <c r="F21" s="5" t="n">
        <v>370.04</v>
      </c>
      <c r="G21" s="11" t="n">
        <v>1.754</v>
      </c>
      <c r="H21" s="5" t="n">
        <f aca="false">ROUND(F21*G21,2)</f>
        <v>649.05</v>
      </c>
      <c r="I21" s="11" t="n">
        <v>-88.07</v>
      </c>
      <c r="J21" s="5" t="n">
        <v>560.98</v>
      </c>
      <c r="K21" s="4" t="n">
        <v>10</v>
      </c>
      <c r="L21" s="5"/>
      <c r="M21" s="6" t="n">
        <f aca="false">IF(F21&gt;0,J21/F21,"")</f>
        <v>1.51599827045725</v>
      </c>
      <c r="N21" s="6" t="n">
        <f aca="false">IF(F21&gt;0,J21/F21/(1+K21/100),"")</f>
        <v>1.37818024587023</v>
      </c>
      <c r="O21" s="4" t="str">
        <f aca="false">IF(ABS(ROUND(F21*G21+I21,2)-J21)&lt;=0.025,"OK","CHECK")</f>
        <v>OK</v>
      </c>
      <c r="P21" s="4" t="str">
        <f aca="false">IF(F21=0,"promo line",IF(ABS(H21-F21*G21)&lt;=0.011,"OK","CHECK"))</f>
        <v>OK</v>
      </c>
    </row>
    <row r="22" customFormat="false" ht="15" hidden="false" customHeight="true" outlineLevel="0" collapsed="false">
      <c r="A22" s="4" t="s">
        <v>63</v>
      </c>
      <c r="B22" s="4" t="s">
        <v>46</v>
      </c>
      <c r="C22" s="4" t="s">
        <v>66</v>
      </c>
      <c r="D22" s="4" t="s">
        <v>6</v>
      </c>
      <c r="E22" s="4" t="s">
        <v>41</v>
      </c>
      <c r="F22" s="5" t="n">
        <v>34.79</v>
      </c>
      <c r="G22" s="11" t="n">
        <v>0.995</v>
      </c>
      <c r="H22" s="5" t="n">
        <f aca="false">ROUND(F22*G22,2)</f>
        <v>34.62</v>
      </c>
      <c r="I22" s="11" t="n">
        <v>-16.838</v>
      </c>
      <c r="J22" s="5" t="n">
        <v>17.78</v>
      </c>
      <c r="K22" s="4" t="n">
        <v>21</v>
      </c>
      <c r="L22" s="5"/>
      <c r="M22" s="6" t="n">
        <f aca="false">IF(F22&gt;0,J22/F22,"")</f>
        <v>0.511066398390342</v>
      </c>
      <c r="N22" s="6" t="n">
        <f aca="false">IF(F22&gt;0,J22/F22/(1+K22/100),"")</f>
        <v>0.422368924289539</v>
      </c>
      <c r="O22" s="4" t="str">
        <f aca="false">IF(ABS(ROUND(F22*G22+I22,2)-J22)&lt;=0.025,"OK","CHECK")</f>
        <v>OK</v>
      </c>
      <c r="P22" s="4" t="str">
        <f aca="false">IF(F22=0,"promo line",IF(ABS(H22-F22*G22)&lt;=0.011,"OK","CHECK"))</f>
        <v>OK</v>
      </c>
    </row>
    <row r="23" customFormat="false" ht="15" hidden="false" customHeight="true" outlineLevel="0" collapsed="false">
      <c r="A23" s="4" t="s">
        <v>63</v>
      </c>
      <c r="B23" s="4" t="s">
        <v>46</v>
      </c>
      <c r="C23" s="4" t="s">
        <v>66</v>
      </c>
      <c r="D23" s="4" t="s">
        <v>6</v>
      </c>
      <c r="E23" s="4" t="s">
        <v>40</v>
      </c>
      <c r="F23" s="5" t="n">
        <v>619.88</v>
      </c>
      <c r="G23" s="11" t="n">
        <v>1.742</v>
      </c>
      <c r="H23" s="5" t="n">
        <f aca="false">ROUND(F23*G23,2)</f>
        <v>1079.83</v>
      </c>
      <c r="I23" s="11" t="n">
        <v>-195.262</v>
      </c>
      <c r="J23" s="5" t="n">
        <v>884.57</v>
      </c>
      <c r="K23" s="4" t="n">
        <v>10</v>
      </c>
      <c r="L23" s="5"/>
      <c r="M23" s="6" t="n">
        <f aca="false">IF(F23&gt;0,J23/F23,"")</f>
        <v>1.42700200038717</v>
      </c>
      <c r="N23" s="6" t="n">
        <f aca="false">IF(F23&gt;0,J23/F23/(1+K23/100),"")</f>
        <v>1.29727454580652</v>
      </c>
      <c r="O23" s="4" t="str">
        <f aca="false">IF(ABS(ROUND(F23*G23+I23,2)-J23)&lt;=0.025,"OK","CHECK")</f>
        <v>OK</v>
      </c>
      <c r="P23" s="4" t="str">
        <f aca="false">IF(F23=0,"promo line",IF(ABS(H23-F23*G23)&lt;=0.011,"OK","CHECK"))</f>
        <v>OK</v>
      </c>
    </row>
    <row r="24" customFormat="false" ht="15" hidden="false" customHeight="true" outlineLevel="0" collapsed="false">
      <c r="A24" s="4" t="s">
        <v>67</v>
      </c>
      <c r="B24" s="4" t="s">
        <v>68</v>
      </c>
      <c r="C24" s="4" t="s">
        <v>69</v>
      </c>
      <c r="D24" s="4" t="s">
        <v>9</v>
      </c>
      <c r="E24" s="4" t="s">
        <v>40</v>
      </c>
      <c r="F24" s="5" t="n">
        <v>719.57</v>
      </c>
      <c r="G24" s="11" t="n">
        <v>1.754</v>
      </c>
      <c r="H24" s="5" t="n">
        <f aca="false">ROUND(F24*G24,2)</f>
        <v>1262.13</v>
      </c>
      <c r="I24" s="11" t="n">
        <v>-218.749</v>
      </c>
      <c r="J24" s="5" t="n">
        <v>1043.38</v>
      </c>
      <c r="K24" s="4" t="n">
        <v>10</v>
      </c>
      <c r="L24" s="5"/>
      <c r="M24" s="6" t="n">
        <f aca="false">IF(F24&gt;0,J24/F24,"")</f>
        <v>1.45000486401601</v>
      </c>
      <c r="N24" s="6" t="n">
        <f aca="false">IF(F24&gt;0,J24/F24/(1+K24/100),"")</f>
        <v>1.31818624001455</v>
      </c>
      <c r="O24" s="4" t="str">
        <f aca="false">IF(ABS(ROUND(F24*G24+I24,2)-J24)&lt;=0.025,"OK","CHECK")</f>
        <v>OK</v>
      </c>
      <c r="P24" s="4" t="str">
        <f aca="false">IF(F24=0,"promo line",IF(ABS(H24-F24*G24)&lt;=0.011,"OK","CHECK"))</f>
        <v>OK</v>
      </c>
    </row>
    <row r="25" customFormat="false" ht="15" hidden="false" customHeight="true" outlineLevel="0" collapsed="false">
      <c r="A25" s="4" t="s">
        <v>67</v>
      </c>
      <c r="B25" s="4" t="s">
        <v>68</v>
      </c>
      <c r="C25" s="4" t="s">
        <v>69</v>
      </c>
      <c r="D25" s="4" t="s">
        <v>9</v>
      </c>
      <c r="E25" s="4" t="s">
        <v>41</v>
      </c>
      <c r="F25" s="5" t="n">
        <v>40.69</v>
      </c>
      <c r="G25" s="11" t="n">
        <v>0.995</v>
      </c>
      <c r="H25" s="5" t="n">
        <f aca="false">ROUND(F25*G25,2)</f>
        <v>40.49</v>
      </c>
      <c r="I25" s="11" t="n">
        <v>-19.694</v>
      </c>
      <c r="J25" s="5" t="n">
        <v>20.8</v>
      </c>
      <c r="K25" s="4" t="n">
        <v>21</v>
      </c>
      <c r="L25" s="5"/>
      <c r="M25" s="6" t="n">
        <f aca="false">IF(F25&gt;0,J25/F25,"")</f>
        <v>0.511182108626198</v>
      </c>
      <c r="N25" s="6" t="n">
        <f aca="false">IF(F25&gt;0,J25/F25/(1+K25/100),"")</f>
        <v>0.422464552583635</v>
      </c>
      <c r="O25" s="4" t="str">
        <f aca="false">IF(ABS(ROUND(F25*G25+I25,2)-J25)&lt;=0.025,"OK","CHECK")</f>
        <v>OK</v>
      </c>
      <c r="P25" s="4" t="str">
        <f aca="false">IF(F25=0,"promo line",IF(ABS(H25-F25*G25)&lt;=0.011,"OK","CHECK"))</f>
        <v>OK</v>
      </c>
    </row>
    <row r="26" customFormat="false" ht="15" hidden="false" customHeight="true" outlineLevel="0" collapsed="false">
      <c r="A26" s="4" t="s">
        <v>67</v>
      </c>
      <c r="B26" s="4" t="s">
        <v>70</v>
      </c>
      <c r="C26" s="4" t="s">
        <v>71</v>
      </c>
      <c r="D26" s="4" t="s">
        <v>6</v>
      </c>
      <c r="E26" s="4" t="s">
        <v>40</v>
      </c>
      <c r="F26" s="5" t="n">
        <v>207.71</v>
      </c>
      <c r="G26" s="11" t="n">
        <v>1.71</v>
      </c>
      <c r="H26" s="5" t="n">
        <f aca="false">ROUND(F26*G26,2)</f>
        <v>355.18</v>
      </c>
      <c r="I26" s="11" t="n">
        <v>-71.66</v>
      </c>
      <c r="J26" s="5" t="n">
        <v>283.52</v>
      </c>
      <c r="K26" s="4" t="n">
        <v>10</v>
      </c>
      <c r="L26" s="5"/>
      <c r="M26" s="6" t="n">
        <f aca="false">IF(F26&gt;0,J26/F26,"")</f>
        <v>1.3649800202205</v>
      </c>
      <c r="N26" s="6" t="n">
        <f aca="false">IF(F26&gt;0,J26/F26/(1+K26/100),"")</f>
        <v>1.24089092747318</v>
      </c>
      <c r="O26" s="4" t="str">
        <f aca="false">IF(ABS(ROUND(F26*G26+I26,2)-J26)&lt;=0.025,"OK","CHECK")</f>
        <v>OK</v>
      </c>
      <c r="P26" s="4" t="str">
        <f aca="false">IF(F26=0,"promo line",IF(ABS(H26-F26*G26)&lt;=0.011,"OK","CHECK"))</f>
        <v>OK</v>
      </c>
    </row>
    <row r="27" customFormat="false" ht="15" hidden="false" customHeight="true" outlineLevel="0" collapsed="false">
      <c r="A27" s="4" t="s">
        <v>67</v>
      </c>
      <c r="B27" s="4" t="s">
        <v>70</v>
      </c>
      <c r="C27" s="4" t="s">
        <v>71</v>
      </c>
      <c r="D27" s="4" t="s">
        <v>6</v>
      </c>
      <c r="E27" s="4" t="s">
        <v>41</v>
      </c>
      <c r="F27" s="5" t="n">
        <v>15.13</v>
      </c>
      <c r="G27" s="11" t="n">
        <v>0.995</v>
      </c>
      <c r="H27" s="5" t="n">
        <f aca="false">ROUND(F27*G27,2)</f>
        <v>15.05</v>
      </c>
      <c r="I27" s="11" t="n">
        <v>-7.323</v>
      </c>
      <c r="J27" s="5" t="n">
        <v>7.73</v>
      </c>
      <c r="K27" s="4" t="n">
        <v>21</v>
      </c>
      <c r="L27" s="5"/>
      <c r="M27" s="6" t="n">
        <f aca="false">IF(F27&gt;0,J27/F27,"")</f>
        <v>0.510905485789822</v>
      </c>
      <c r="N27" s="6" t="n">
        <f aca="false">IF(F27&gt;0,J27/F27/(1+K27/100),"")</f>
        <v>0.422235938669274</v>
      </c>
      <c r="O27" s="4" t="str">
        <f aca="false">IF(ABS(ROUND(F27*G27+I27,2)-J27)&lt;=0.025,"OK","CHECK")</f>
        <v>OK</v>
      </c>
      <c r="P27" s="4" t="str">
        <f aca="false">IF(F27=0,"promo line",IF(ABS(H27-F27*G27)&lt;=0.011,"OK","CHECK"))</f>
        <v>OK</v>
      </c>
    </row>
    <row r="28" customFormat="false" ht="15" hidden="false" customHeight="true" outlineLevel="0" collapsed="false">
      <c r="A28" s="4" t="s">
        <v>67</v>
      </c>
      <c r="B28" s="4" t="s">
        <v>70</v>
      </c>
      <c r="C28" s="4" t="s">
        <v>72</v>
      </c>
      <c r="D28" s="4" t="s">
        <v>6</v>
      </c>
      <c r="E28" s="4" t="s">
        <v>40</v>
      </c>
      <c r="F28" s="5" t="n">
        <v>133.83</v>
      </c>
      <c r="G28" s="11" t="n">
        <v>1.71</v>
      </c>
      <c r="H28" s="5" t="n">
        <f aca="false">ROUND(F28*G28,2)</f>
        <v>228.85</v>
      </c>
      <c r="I28" s="11" t="n">
        <v>-46.171</v>
      </c>
      <c r="J28" s="5" t="n">
        <v>182.68</v>
      </c>
      <c r="K28" s="4" t="n">
        <v>10</v>
      </c>
      <c r="L28" s="5"/>
      <c r="M28" s="6" t="n">
        <f aca="false">IF(F28&gt;0,J28/F28,"")</f>
        <v>1.36501531794067</v>
      </c>
      <c r="N28" s="6" t="n">
        <f aca="false">IF(F28&gt;0,J28/F28/(1+K28/100),"")</f>
        <v>1.2409230163097</v>
      </c>
      <c r="O28" s="4" t="str">
        <f aca="false">IF(ABS(ROUND(F28*G28+I28,2)-J28)&lt;=0.025,"OK","CHECK")</f>
        <v>OK</v>
      </c>
      <c r="P28" s="4" t="str">
        <f aca="false">IF(F28=0,"promo line",IF(ABS(H28-F28*G28)&lt;=0.011,"OK","CHECK"))</f>
        <v>OK</v>
      </c>
    </row>
    <row r="29" customFormat="false" ht="15" hidden="false" customHeight="true" outlineLevel="0" collapsed="false">
      <c r="A29" s="4" t="s">
        <v>73</v>
      </c>
      <c r="B29" s="4" t="s">
        <v>55</v>
      </c>
      <c r="C29" s="4" t="s">
        <v>74</v>
      </c>
      <c r="D29" s="4" t="s">
        <v>7</v>
      </c>
      <c r="E29" s="4" t="s">
        <v>40</v>
      </c>
      <c r="F29" s="5" t="n">
        <v>509.26</v>
      </c>
      <c r="G29" s="11" t="n">
        <v>1.944</v>
      </c>
      <c r="H29" s="5" t="n">
        <f aca="false">ROUND(F29*G29,2)</f>
        <v>990</v>
      </c>
      <c r="I29" s="11" t="n">
        <v>-151.759</v>
      </c>
      <c r="J29" s="5" t="n">
        <v>838.24</v>
      </c>
      <c r="K29" s="4" t="n">
        <v>10</v>
      </c>
      <c r="L29" s="5"/>
      <c r="M29" s="6" t="n">
        <f aca="false">IF(F29&gt;0,J29/F29,"")</f>
        <v>1.64599615127833</v>
      </c>
      <c r="N29" s="6" t="n">
        <f aca="false">IF(F29&gt;0,J29/F29/(1+K29/100),"")</f>
        <v>1.49636013752575</v>
      </c>
      <c r="O29" s="4" t="str">
        <f aca="false">IF(ABS(ROUND(F29*G29+I29,2)-J29)&lt;=0.025,"OK","CHECK")</f>
        <v>OK</v>
      </c>
      <c r="P29" s="4" t="str">
        <f aca="false">IF(F29=0,"promo line",IF(ABS(H29-F29*G29)&lt;=0.011,"OK","CHECK"))</f>
        <v>OK</v>
      </c>
    </row>
    <row r="30" customFormat="false" ht="15" hidden="false" customHeight="true" outlineLevel="0" collapsed="false">
      <c r="A30" s="4" t="s">
        <v>73</v>
      </c>
      <c r="B30" s="4" t="s">
        <v>55</v>
      </c>
      <c r="C30" s="4" t="s">
        <v>74</v>
      </c>
      <c r="D30" s="4" t="s">
        <v>7</v>
      </c>
      <c r="E30" s="4" t="s">
        <v>57</v>
      </c>
      <c r="F30" s="5" t="n">
        <v>0</v>
      </c>
      <c r="G30" s="11" t="n">
        <v>1.944</v>
      </c>
      <c r="H30" s="5" t="n">
        <f aca="false">ROUND(F30*G30,2)</f>
        <v>0</v>
      </c>
      <c r="I30" s="11" t="n">
        <v>-25.463</v>
      </c>
      <c r="J30" s="5" t="n">
        <v>-25.46</v>
      </c>
      <c r="K30" s="4" t="n">
        <v>10</v>
      </c>
      <c r="L30" s="5"/>
      <c r="M30" s="6" t="str">
        <f aca="false">IF(F30&gt;0,J30/F30,"")</f>
        <v/>
      </c>
      <c r="N30" s="6" t="str">
        <f aca="false">IF(F30&gt;0,J30/F30/(1+K30/100),"")</f>
        <v/>
      </c>
      <c r="O30" s="4" t="str">
        <f aca="false">IF(ABS(ROUND(F30*G30+I30,2)-J30)&lt;=0.025,"OK","CHECK")</f>
        <v>OK</v>
      </c>
      <c r="P30" s="4" t="str">
        <f aca="false">IF(F30=0,"promo line",IF(ABS(H30-F30*G30)&lt;=0.011,"OK","CHECK"))</f>
        <v>promo line</v>
      </c>
    </row>
    <row r="31" customFormat="false" ht="15" hidden="false" customHeight="true" outlineLevel="0" collapsed="false">
      <c r="A31" s="4" t="s">
        <v>75</v>
      </c>
      <c r="B31" s="4" t="s">
        <v>49</v>
      </c>
      <c r="C31" s="4" t="s">
        <v>76</v>
      </c>
      <c r="D31" s="4" t="s">
        <v>14</v>
      </c>
      <c r="E31" s="4" t="s">
        <v>40</v>
      </c>
      <c r="F31" s="5" t="n">
        <v>712</v>
      </c>
      <c r="G31" s="11" t="n">
        <v>1.745</v>
      </c>
      <c r="H31" s="5" t="n">
        <f aca="false">ROUND(F31*G31,2)</f>
        <v>1242.44</v>
      </c>
      <c r="I31" s="11" t="n">
        <v>-205.768</v>
      </c>
      <c r="J31" s="5" t="n">
        <v>1036.67</v>
      </c>
      <c r="K31" s="4" t="n">
        <v>10</v>
      </c>
      <c r="L31" s="5"/>
      <c r="M31" s="6" t="n">
        <f aca="false">IF(F31&gt;0,J31/F31,"")</f>
        <v>1.45599719101124</v>
      </c>
      <c r="N31" s="6" t="n">
        <f aca="false">IF(F31&gt;0,J31/F31/(1+K31/100),"")</f>
        <v>1.32363381001021</v>
      </c>
      <c r="O31" s="4" t="str">
        <f aca="false">IF(ABS(ROUND(F31*G31+I31,2)-J31)&lt;=0.025,"OK","CHECK")</f>
        <v>OK</v>
      </c>
      <c r="P31" s="4" t="str">
        <f aca="false">IF(F31=0,"promo line",IF(ABS(H31-F31*G31)&lt;=0.011,"OK","CHECK"))</f>
        <v>OK</v>
      </c>
    </row>
    <row r="32" customFormat="false" ht="15" hidden="false" customHeight="true" outlineLevel="0" collapsed="false">
      <c r="A32" s="4" t="s">
        <v>75</v>
      </c>
      <c r="B32" s="4" t="s">
        <v>49</v>
      </c>
      <c r="C32" s="4" t="s">
        <v>76</v>
      </c>
      <c r="D32" s="4" t="s">
        <v>14</v>
      </c>
      <c r="E32" s="4" t="s">
        <v>41</v>
      </c>
      <c r="F32" s="5" t="n">
        <v>33.98</v>
      </c>
      <c r="G32" s="11" t="n">
        <v>0.995</v>
      </c>
      <c r="H32" s="5" t="n">
        <f aca="false">ROUND(F32*G32,2)</f>
        <v>33.81</v>
      </c>
      <c r="I32" s="11" t="n">
        <v>-12.98</v>
      </c>
      <c r="J32" s="5" t="n">
        <v>20.83</v>
      </c>
      <c r="K32" s="4" t="n">
        <v>21</v>
      </c>
      <c r="L32" s="5"/>
      <c r="M32" s="6" t="n">
        <f aca="false">IF(F32&gt;0,J32/F32,"")</f>
        <v>0.613007651559741</v>
      </c>
      <c r="N32" s="6" t="n">
        <f aca="false">IF(F32&gt;0,J32/F32/(1+K32/100),"")</f>
        <v>0.506617893851026</v>
      </c>
      <c r="O32" s="4" t="str">
        <f aca="false">IF(ABS(ROUND(F32*G32+I32,2)-J32)&lt;=0.025,"OK","CHECK")</f>
        <v>OK</v>
      </c>
      <c r="P32" s="4" t="str">
        <f aca="false">IF(F32=0,"promo line",IF(ABS(H32-F32*G32)&lt;=0.011,"OK","CHECK"))</f>
        <v>OK</v>
      </c>
    </row>
    <row r="33" customFormat="false" ht="15" hidden="false" customHeight="true" outlineLevel="0" collapsed="false">
      <c r="A33" s="4" t="s">
        <v>77</v>
      </c>
      <c r="B33" s="4" t="s">
        <v>43</v>
      </c>
      <c r="C33" s="4" t="s">
        <v>78</v>
      </c>
      <c r="D33" s="4" t="s">
        <v>7</v>
      </c>
      <c r="E33" s="4" t="s">
        <v>40</v>
      </c>
      <c r="F33" s="5" t="n">
        <v>596.39</v>
      </c>
      <c r="G33" s="11" t="n">
        <v>1.738</v>
      </c>
      <c r="H33" s="5" t="n">
        <f aca="false">ROUND(F33*G33,2)</f>
        <v>1036.53</v>
      </c>
      <c r="I33" s="11" t="n">
        <v>-192.038</v>
      </c>
      <c r="J33" s="5" t="n">
        <v>844.49</v>
      </c>
      <c r="K33" s="4" t="n">
        <v>10</v>
      </c>
      <c r="L33" s="5"/>
      <c r="M33" s="6" t="n">
        <f aca="false">IF(F33&gt;0,J33/F33,"")</f>
        <v>1.41600295108905</v>
      </c>
      <c r="N33" s="6" t="n">
        <f aca="false">IF(F33&gt;0,J33/F33/(1+K33/100),"")</f>
        <v>1.28727541008096</v>
      </c>
      <c r="O33" s="4" t="str">
        <f aca="false">IF(ABS(ROUND(F33*G33+I33,2)-J33)&lt;=0.025,"OK","CHECK")</f>
        <v>OK</v>
      </c>
      <c r="P33" s="4" t="str">
        <f aca="false">IF(F33=0,"promo line",IF(ABS(H33-F33*G33)&lt;=0.011,"OK","CHECK"))</f>
        <v>OK</v>
      </c>
    </row>
    <row r="34" customFormat="false" ht="15" hidden="false" customHeight="true" outlineLevel="0" collapsed="false">
      <c r="A34" s="4" t="s">
        <v>77</v>
      </c>
      <c r="B34" s="4" t="s">
        <v>43</v>
      </c>
      <c r="C34" s="4" t="s">
        <v>78</v>
      </c>
      <c r="D34" s="4" t="s">
        <v>7</v>
      </c>
      <c r="E34" s="4" t="s">
        <v>41</v>
      </c>
      <c r="F34" s="5" t="n">
        <v>28.97</v>
      </c>
      <c r="G34" s="11" t="n">
        <v>0.995</v>
      </c>
      <c r="H34" s="5" t="n">
        <f aca="false">ROUND(F34*G34,2)</f>
        <v>28.83</v>
      </c>
      <c r="I34" s="11" t="n">
        <v>-14.021</v>
      </c>
      <c r="J34" s="5" t="n">
        <v>14.81</v>
      </c>
      <c r="K34" s="4" t="n">
        <v>21</v>
      </c>
      <c r="L34" s="5"/>
      <c r="M34" s="6" t="n">
        <f aca="false">IF(F34&gt;0,J34/F34,"")</f>
        <v>0.511218501898516</v>
      </c>
      <c r="N34" s="6" t="n">
        <f aca="false">IF(F34&gt;0,J34/F34/(1+K34/100),"")</f>
        <v>0.422494629668195</v>
      </c>
      <c r="O34" s="4" t="str">
        <f aca="false">IF(ABS(ROUND(F34*G34+I34,2)-J34)&lt;=0.025,"OK","CHECK")</f>
        <v>OK</v>
      </c>
      <c r="P34" s="4" t="str">
        <f aca="false">IF(F34=0,"promo line",IF(ABS(H34-F34*G34)&lt;=0.011,"OK","CHECK"))</f>
        <v>OK</v>
      </c>
    </row>
    <row r="35" customFormat="false" ht="15" hidden="false" customHeight="true" outlineLevel="0" collapsed="false">
      <c r="A35" s="4" t="s">
        <v>79</v>
      </c>
      <c r="B35" s="4" t="s">
        <v>80</v>
      </c>
      <c r="C35" s="4" t="s">
        <v>81</v>
      </c>
      <c r="D35" s="4" t="s">
        <v>16</v>
      </c>
      <c r="E35" s="4" t="s">
        <v>57</v>
      </c>
      <c r="F35" s="5" t="n">
        <v>0</v>
      </c>
      <c r="G35" s="11" t="n">
        <v>1.829</v>
      </c>
      <c r="H35" s="5" t="n">
        <f aca="false">ROUND(F35*G35,2)</f>
        <v>0</v>
      </c>
      <c r="I35" s="11" t="n">
        <v>-10.006</v>
      </c>
      <c r="J35" s="5" t="n">
        <v>-10.01</v>
      </c>
      <c r="K35" s="4" t="n">
        <v>10</v>
      </c>
      <c r="L35" s="5"/>
      <c r="M35" s="6" t="str">
        <f aca="false">IF(F35&gt;0,J35/F35,"")</f>
        <v/>
      </c>
      <c r="N35" s="6" t="str">
        <f aca="false">IF(F35&gt;0,J35/F35/(1+K35/100),"")</f>
        <v/>
      </c>
      <c r="O35" s="4" t="str">
        <f aca="false">IF(ABS(ROUND(F35*G35+I35,2)-J35)&lt;=0.025,"OK","CHECK")</f>
        <v>OK</v>
      </c>
      <c r="P35" s="4" t="str">
        <f aca="false">IF(F35=0,"promo line",IF(ABS(H35-F35*G35)&lt;=0.011,"OK","CHECK"))</f>
        <v>promo line</v>
      </c>
    </row>
    <row r="36" customFormat="false" ht="15" hidden="false" customHeight="true" outlineLevel="0" collapsed="false">
      <c r="A36" s="4" t="s">
        <v>79</v>
      </c>
      <c r="B36" s="4" t="s">
        <v>80</v>
      </c>
      <c r="C36" s="4" t="s">
        <v>81</v>
      </c>
      <c r="D36" s="4" t="s">
        <v>16</v>
      </c>
      <c r="E36" s="4" t="s">
        <v>40</v>
      </c>
      <c r="F36" s="5" t="n">
        <v>200.11</v>
      </c>
      <c r="G36" s="11" t="n">
        <v>1.829</v>
      </c>
      <c r="H36" s="5" t="n">
        <f aca="false">ROUND(F36*G36,2)</f>
        <v>366</v>
      </c>
      <c r="I36" s="11" t="n">
        <v>-28.616</v>
      </c>
      <c r="J36" s="5" t="n">
        <v>337.38</v>
      </c>
      <c r="K36" s="4" t="n">
        <v>10</v>
      </c>
      <c r="L36" s="5"/>
      <c r="M36" s="6" t="n">
        <f aca="false">IF(F36&gt;0,J36/F36,"")</f>
        <v>1.68597271500675</v>
      </c>
      <c r="N36" s="6" t="n">
        <f aca="false">IF(F36&gt;0,J36/F36/(1+K36/100),"")</f>
        <v>1.53270246818795</v>
      </c>
      <c r="O36" s="4" t="str">
        <f aca="false">IF(ABS(ROUND(F36*G36+I36,2)-J36)&lt;=0.025,"OK","CHECK")</f>
        <v>OK</v>
      </c>
      <c r="P36" s="4" t="str">
        <f aca="false">IF(F36=0,"promo line",IF(ABS(H36-F36*G36)&lt;=0.011,"OK","CHECK"))</f>
        <v>OK</v>
      </c>
    </row>
    <row r="37" customFormat="false" ht="15" hidden="false" customHeight="true" outlineLevel="0" collapsed="false">
      <c r="A37" s="4" t="s">
        <v>82</v>
      </c>
      <c r="B37" s="4" t="s">
        <v>49</v>
      </c>
      <c r="C37" s="4" t="s">
        <v>83</v>
      </c>
      <c r="D37" s="4" t="s">
        <v>7</v>
      </c>
      <c r="E37" s="4" t="s">
        <v>41</v>
      </c>
      <c r="F37" s="5" t="n">
        <v>65.17</v>
      </c>
      <c r="G37" s="11" t="n">
        <v>0.995</v>
      </c>
      <c r="H37" s="5" t="n">
        <f aca="false">ROUND(F37*G37,2)</f>
        <v>64.84</v>
      </c>
      <c r="I37" s="11" t="n">
        <v>-31.542</v>
      </c>
      <c r="J37" s="5" t="n">
        <v>33.3</v>
      </c>
      <c r="K37" s="4" t="n">
        <v>21</v>
      </c>
      <c r="L37" s="5"/>
      <c r="M37" s="6" t="n">
        <f aca="false">IF(F37&gt;0,J37/F37,"")</f>
        <v>0.510971305815559</v>
      </c>
      <c r="N37" s="6" t="n">
        <f aca="false">IF(F37&gt;0,J37/F37/(1+K37/100),"")</f>
        <v>0.42229033538476</v>
      </c>
      <c r="O37" s="4" t="str">
        <f aca="false">IF(ABS(ROUND(F37*G37+I37,2)-J37)&lt;=0.025,"OK","CHECK")</f>
        <v>OK</v>
      </c>
      <c r="P37" s="4" t="str">
        <f aca="false">IF(F37=0,"promo line",IF(ABS(H37-F37*G37)&lt;=0.011,"OK","CHECK"))</f>
        <v>OK</v>
      </c>
    </row>
    <row r="38" customFormat="false" ht="15" hidden="false" customHeight="true" outlineLevel="0" collapsed="false">
      <c r="A38" s="4" t="s">
        <v>82</v>
      </c>
      <c r="B38" s="4" t="s">
        <v>49</v>
      </c>
      <c r="C38" s="4" t="s">
        <v>83</v>
      </c>
      <c r="D38" s="4" t="s">
        <v>7</v>
      </c>
      <c r="E38" s="4" t="s">
        <v>40</v>
      </c>
      <c r="F38" s="5" t="n">
        <v>571.18</v>
      </c>
      <c r="G38" s="11" t="n">
        <v>1.742</v>
      </c>
      <c r="H38" s="5" t="n">
        <f aca="false">ROUND(F38*G38,2)</f>
        <v>995</v>
      </c>
      <c r="I38" s="11" t="n">
        <v>-163.929</v>
      </c>
      <c r="J38" s="5" t="n">
        <v>831.07</v>
      </c>
      <c r="K38" s="4" t="n">
        <v>10</v>
      </c>
      <c r="L38" s="5"/>
      <c r="M38" s="6" t="n">
        <f aca="false">IF(F38&gt;0,J38/F38,"")</f>
        <v>1.4550054273609</v>
      </c>
      <c r="N38" s="6" t="n">
        <f aca="false">IF(F38&gt;0,J38/F38/(1+K38/100),"")</f>
        <v>1.32273220669173</v>
      </c>
      <c r="O38" s="4" t="str">
        <f aca="false">IF(ABS(ROUND(F38*G38+I38,2)-J38)&lt;=0.025,"OK","CHECK")</f>
        <v>OK</v>
      </c>
      <c r="P38" s="4" t="str">
        <f aca="false">IF(F38=0,"promo line",IF(ABS(H38-F38*G38)&lt;=0.011,"OK","CHECK"))</f>
        <v>OK</v>
      </c>
    </row>
    <row r="39" customFormat="false" ht="15" hidden="false" customHeight="true" outlineLevel="0" collapsed="false">
      <c r="A39" s="4" t="s">
        <v>82</v>
      </c>
      <c r="B39" s="4" t="s">
        <v>49</v>
      </c>
      <c r="C39" s="4" t="s">
        <v>84</v>
      </c>
      <c r="D39" s="4" t="s">
        <v>7</v>
      </c>
      <c r="E39" s="4" t="s">
        <v>40</v>
      </c>
      <c r="F39" s="5" t="n">
        <v>266.26</v>
      </c>
      <c r="G39" s="11" t="n">
        <v>1.742</v>
      </c>
      <c r="H39" s="5" t="n">
        <f aca="false">ROUND(F39*G39,2)</f>
        <v>463.82</v>
      </c>
      <c r="I39" s="11" t="n">
        <v>-76.417</v>
      </c>
      <c r="J39" s="5" t="n">
        <v>387.4</v>
      </c>
      <c r="K39" s="4" t="n">
        <v>10</v>
      </c>
      <c r="L39" s="5"/>
      <c r="M39" s="6" t="n">
        <f aca="false">IF(F39&gt;0,J39/F39,"")</f>
        <v>1.45496882746188</v>
      </c>
      <c r="N39" s="6" t="n">
        <f aca="false">IF(F39&gt;0,J39/F39/(1+K39/100),"")</f>
        <v>1.32269893405625</v>
      </c>
      <c r="O39" s="4" t="str">
        <f aca="false">IF(ABS(ROUND(F39*G39+I39,2)-J39)&lt;=0.025,"OK","CHECK")</f>
        <v>OK</v>
      </c>
      <c r="P39" s="4" t="str">
        <f aca="false">IF(F39=0,"promo line",IF(ABS(H39-F39*G39)&lt;=0.011,"OK","CHECK"))</f>
        <v>OK</v>
      </c>
    </row>
    <row r="40" customFormat="false" ht="15" hidden="false" customHeight="true" outlineLevel="0" collapsed="false">
      <c r="A40" s="4" t="s">
        <v>85</v>
      </c>
      <c r="B40" s="4" t="s">
        <v>49</v>
      </c>
      <c r="C40" s="4" t="s">
        <v>86</v>
      </c>
      <c r="D40" s="4" t="s">
        <v>9</v>
      </c>
      <c r="E40" s="4" t="s">
        <v>40</v>
      </c>
      <c r="F40" s="5" t="n">
        <v>790.44</v>
      </c>
      <c r="G40" s="11" t="n">
        <v>1.742</v>
      </c>
      <c r="H40" s="5" t="n">
        <f aca="false">ROUND(F40*G40,2)</f>
        <v>1376.95</v>
      </c>
      <c r="I40" s="11" t="n">
        <v>-229.228</v>
      </c>
      <c r="J40" s="5" t="n">
        <v>1147.71</v>
      </c>
      <c r="K40" s="4" t="n">
        <v>10</v>
      </c>
      <c r="L40" s="5"/>
      <c r="M40" s="6" t="n">
        <f aca="false">IF(F40&gt;0,J40/F40,"")</f>
        <v>1.45198876575072</v>
      </c>
      <c r="N40" s="6" t="n">
        <f aca="false">IF(F40&gt;0,J40/F40/(1+K40/100),"")</f>
        <v>1.31998978704611</v>
      </c>
      <c r="O40" s="4" t="str">
        <f aca="false">IF(ABS(ROUND(F40*G40+I40,2)-J40)&lt;=0.025,"OK","CHECK")</f>
        <v>OK</v>
      </c>
      <c r="P40" s="4" t="str">
        <f aca="false">IF(F40=0,"promo line",IF(ABS(H40-F40*G40)&lt;=0.011,"OK","CHECK"))</f>
        <v>OK</v>
      </c>
    </row>
    <row r="41" customFormat="false" ht="15" hidden="false" customHeight="true" outlineLevel="0" collapsed="false">
      <c r="A41" s="4" t="s">
        <v>85</v>
      </c>
      <c r="B41" s="4" t="s">
        <v>49</v>
      </c>
      <c r="C41" s="4" t="s">
        <v>86</v>
      </c>
      <c r="D41" s="4" t="s">
        <v>9</v>
      </c>
      <c r="E41" s="4" t="s">
        <v>41</v>
      </c>
      <c r="F41" s="5" t="n">
        <v>33.91</v>
      </c>
      <c r="G41" s="11" t="n">
        <v>0.995</v>
      </c>
      <c r="H41" s="5" t="n">
        <f aca="false">ROUND(F41*G41,2)</f>
        <v>33.74</v>
      </c>
      <c r="I41" s="11" t="n">
        <v>-16.412</v>
      </c>
      <c r="J41" s="5" t="n">
        <v>17.33</v>
      </c>
      <c r="K41" s="4" t="n">
        <v>21</v>
      </c>
      <c r="L41" s="5"/>
      <c r="M41" s="6" t="n">
        <f aca="false">IF(F41&gt;0,J41/F41,"")</f>
        <v>0.51105868475376</v>
      </c>
      <c r="N41" s="6" t="n">
        <f aca="false">IF(F41&gt;0,J41/F41/(1+K41/100),"")</f>
        <v>0.422362549383273</v>
      </c>
      <c r="O41" s="4" t="str">
        <f aca="false">IF(ABS(ROUND(F41*G41+I41,2)-J41)&lt;=0.025,"OK","CHECK")</f>
        <v>OK</v>
      </c>
      <c r="P41" s="4" t="str">
        <f aca="false">IF(F41=0,"promo line",IF(ABS(H41-F41*G41)&lt;=0.011,"OK","CHECK"))</f>
        <v>OK</v>
      </c>
    </row>
    <row r="42" customFormat="false" ht="15" hidden="false" customHeight="true" outlineLevel="0" collapsed="false">
      <c r="A42" s="4" t="s">
        <v>85</v>
      </c>
      <c r="B42" s="4" t="s">
        <v>46</v>
      </c>
      <c r="C42" s="4" t="s">
        <v>87</v>
      </c>
      <c r="D42" s="4" t="s">
        <v>8</v>
      </c>
      <c r="E42" s="4" t="s">
        <v>40</v>
      </c>
      <c r="F42" s="5" t="n">
        <v>123.16</v>
      </c>
      <c r="G42" s="11" t="n">
        <v>1.799</v>
      </c>
      <c r="H42" s="5" t="n">
        <f aca="false">ROUND(F42*G42,2)</f>
        <v>221.56</v>
      </c>
      <c r="I42" s="11" t="n">
        <v>-28.943</v>
      </c>
      <c r="J42" s="5" t="n">
        <v>192.63</v>
      </c>
      <c r="K42" s="4" t="n">
        <v>10</v>
      </c>
      <c r="L42" s="5"/>
      <c r="M42" s="6" t="n">
        <f aca="false">IF(F42&gt;0,J42/F42,"")</f>
        <v>1.56406300746996</v>
      </c>
      <c r="N42" s="6" t="n">
        <f aca="false">IF(F42&gt;0,J42/F42/(1+K42/100),"")</f>
        <v>1.42187546133633</v>
      </c>
      <c r="O42" s="4" t="str">
        <f aca="false">IF(ABS(ROUND(F42*G42+I42,2)-J42)&lt;=0.025,"OK","CHECK")</f>
        <v>OK</v>
      </c>
      <c r="P42" s="4" t="str">
        <f aca="false">IF(F42=0,"promo line",IF(ABS(H42-F42*G42)&lt;=0.011,"OK","CHECK"))</f>
        <v>OK</v>
      </c>
    </row>
    <row r="43" customFormat="false" ht="15" hidden="false" customHeight="true" outlineLevel="0" collapsed="false">
      <c r="A43" s="4" t="s">
        <v>88</v>
      </c>
      <c r="B43" s="4" t="s">
        <v>43</v>
      </c>
      <c r="C43" s="4" t="s">
        <v>89</v>
      </c>
      <c r="D43" s="4" t="s">
        <v>8</v>
      </c>
      <c r="E43" s="4" t="s">
        <v>41</v>
      </c>
      <c r="F43" s="5" t="n">
        <v>54.5</v>
      </c>
      <c r="G43" s="11" t="n">
        <v>0.899</v>
      </c>
      <c r="H43" s="5" t="n">
        <f aca="false">ROUND(F43*G43,2)</f>
        <v>49</v>
      </c>
      <c r="I43" s="11" t="n">
        <v>0</v>
      </c>
      <c r="J43" s="5" t="n">
        <v>49</v>
      </c>
      <c r="K43" s="4" t="n">
        <v>21</v>
      </c>
      <c r="L43" s="5"/>
      <c r="M43" s="6" t="n">
        <f aca="false">IF(F43&gt;0,J43/F43,"")</f>
        <v>0.89908256880734</v>
      </c>
      <c r="N43" s="6" t="n">
        <f aca="false">IF(F43&gt;0,J43/F43/(1+K43/100),"")</f>
        <v>0.743043445295322</v>
      </c>
      <c r="O43" s="4" t="str">
        <f aca="false">IF(ABS(ROUND(F43*G43+I43,2)-J43)&lt;=0.025,"OK","CHECK")</f>
        <v>OK</v>
      </c>
      <c r="P43" s="4" t="str">
        <f aca="false">IF(F43=0,"promo line",IF(ABS(H43-F43*G43)&lt;=0.011,"OK","CHECK"))</f>
        <v>OK</v>
      </c>
    </row>
    <row r="44" customFormat="false" ht="15" hidden="false" customHeight="true" outlineLevel="0" collapsed="false">
      <c r="A44" s="4" t="s">
        <v>88</v>
      </c>
      <c r="B44" s="4" t="s">
        <v>43</v>
      </c>
      <c r="C44" s="4" t="s">
        <v>89</v>
      </c>
      <c r="D44" s="4" t="s">
        <v>8</v>
      </c>
      <c r="E44" s="4" t="s">
        <v>40</v>
      </c>
      <c r="F44" s="5" t="n">
        <v>605.53</v>
      </c>
      <c r="G44" s="11" t="n">
        <v>1.799</v>
      </c>
      <c r="H44" s="5" t="n">
        <f aca="false">ROUND(F44*G44,2)</f>
        <v>1089.35</v>
      </c>
      <c r="I44" s="11" t="n">
        <v>-148.96</v>
      </c>
      <c r="J44" s="5" t="n">
        <v>940.39</v>
      </c>
      <c r="K44" s="4" t="n">
        <v>10</v>
      </c>
      <c r="L44" s="5"/>
      <c r="M44" s="6" t="n">
        <f aca="false">IF(F44&gt;0,J44/F44,"")</f>
        <v>1.55300315426156</v>
      </c>
      <c r="N44" s="6" t="n">
        <f aca="false">IF(F44&gt;0,J44/F44/(1+K44/100),"")</f>
        <v>1.41182104932869</v>
      </c>
      <c r="O44" s="4" t="str">
        <f aca="false">IF(ABS(ROUND(F44*G44+I44,2)-J44)&lt;=0.025,"OK","CHECK")</f>
        <v>OK</v>
      </c>
      <c r="P44" s="4" t="str">
        <f aca="false">IF(F44=0,"promo line",IF(ABS(H44-F44*G44)&lt;=0.011,"OK","CHECK"))</f>
        <v>OK</v>
      </c>
    </row>
    <row r="45" customFormat="false" ht="15" hidden="false" customHeight="true" outlineLevel="0" collapsed="false">
      <c r="A45" s="4" t="s">
        <v>88</v>
      </c>
      <c r="B45" s="4" t="s">
        <v>43</v>
      </c>
      <c r="C45" s="4" t="s">
        <v>90</v>
      </c>
      <c r="D45" s="4" t="s">
        <v>8</v>
      </c>
      <c r="E45" s="4" t="s">
        <v>41</v>
      </c>
      <c r="F45" s="5" t="n">
        <v>35.64</v>
      </c>
      <c r="G45" s="11" t="n">
        <v>0.899</v>
      </c>
      <c r="H45" s="5" t="n">
        <f aca="false">ROUND(F45*G45,2)</f>
        <v>32.04</v>
      </c>
      <c r="I45" s="11" t="n">
        <v>0</v>
      </c>
      <c r="J45" s="5" t="n">
        <v>32.04</v>
      </c>
      <c r="K45" s="4" t="n">
        <v>21</v>
      </c>
      <c r="L45" s="5"/>
      <c r="M45" s="6" t="n">
        <f aca="false">IF(F45&gt;0,J45/F45,"")</f>
        <v>0.898989898989899</v>
      </c>
      <c r="N45" s="6" t="n">
        <f aca="false">IF(F45&gt;0,J45/F45/(1+K45/100),"")</f>
        <v>0.742966858669338</v>
      </c>
      <c r="O45" s="4" t="str">
        <f aca="false">IF(ABS(ROUND(F45*G45+I45,2)-J45)&lt;=0.025,"OK","CHECK")</f>
        <v>OK</v>
      </c>
      <c r="P45" s="4" t="str">
        <f aca="false">IF(F45=0,"promo line",IF(ABS(H45-F45*G45)&lt;=0.011,"OK","CHECK"))</f>
        <v>OK</v>
      </c>
    </row>
    <row r="46" customFormat="false" ht="15" hidden="false" customHeight="true" outlineLevel="0" collapsed="false">
      <c r="A46" s="4" t="s">
        <v>88</v>
      </c>
      <c r="B46" s="4" t="s">
        <v>43</v>
      </c>
      <c r="C46" s="4" t="s">
        <v>91</v>
      </c>
      <c r="D46" s="4" t="s">
        <v>8</v>
      </c>
      <c r="E46" s="4" t="s">
        <v>40</v>
      </c>
      <c r="F46" s="5" t="n">
        <v>334.68</v>
      </c>
      <c r="G46" s="11" t="n">
        <v>1.799</v>
      </c>
      <c r="H46" s="5" t="n">
        <f aca="false">ROUND(F46*G46,2)</f>
        <v>602.09</v>
      </c>
      <c r="I46" s="11" t="n">
        <v>-82.331</v>
      </c>
      <c r="J46" s="5" t="n">
        <v>519.76</v>
      </c>
      <c r="K46" s="4" t="n">
        <v>10</v>
      </c>
      <c r="L46" s="5"/>
      <c r="M46" s="6" t="n">
        <f aca="false">IF(F46&gt;0,J46/F46,"")</f>
        <v>1.55300585634038</v>
      </c>
      <c r="N46" s="6" t="n">
        <f aca="false">IF(F46&gt;0,J46/F46/(1+K46/100),"")</f>
        <v>1.41182350576399</v>
      </c>
      <c r="O46" s="4" t="str">
        <f aca="false">IF(ABS(ROUND(F46*G46+I46,2)-J46)&lt;=0.025,"OK","CHECK")</f>
        <v>OK</v>
      </c>
      <c r="P46" s="4" t="str">
        <f aca="false">IF(F46=0,"promo line",IF(ABS(H46-F46*G46)&lt;=0.011,"OK","CHECK"))</f>
        <v>OK</v>
      </c>
    </row>
    <row r="47" customFormat="false" ht="15" hidden="false" customHeight="true" outlineLevel="0" collapsed="false">
      <c r="A47" s="4" t="s">
        <v>92</v>
      </c>
      <c r="B47" s="4" t="s">
        <v>49</v>
      </c>
      <c r="C47" s="4" t="s">
        <v>93</v>
      </c>
      <c r="D47" s="4" t="s">
        <v>7</v>
      </c>
      <c r="E47" s="4" t="s">
        <v>40</v>
      </c>
      <c r="F47" s="5" t="n">
        <v>920.04</v>
      </c>
      <c r="G47" s="11" t="n">
        <v>1.742</v>
      </c>
      <c r="H47" s="5" t="n">
        <f aca="false">ROUND(F47*G47,2)</f>
        <v>1602.71</v>
      </c>
      <c r="I47" s="11" t="n">
        <v>-264.051</v>
      </c>
      <c r="J47" s="5" t="n">
        <v>1338.66</v>
      </c>
      <c r="K47" s="4" t="n">
        <v>10</v>
      </c>
      <c r="L47" s="5"/>
      <c r="M47" s="6" t="n">
        <f aca="false">IF(F47&gt;0,J47/F47,"")</f>
        <v>1.45500195643668</v>
      </c>
      <c r="N47" s="6" t="n">
        <f aca="false">IF(F47&gt;0,J47/F47/(1+K47/100),"")</f>
        <v>1.32272905130607</v>
      </c>
      <c r="O47" s="4" t="str">
        <f aca="false">IF(ABS(ROUND(F47*G47+I47,2)-J47)&lt;=0.025,"OK","CHECK")</f>
        <v>OK</v>
      </c>
      <c r="P47" s="4" t="str">
        <f aca="false">IF(F47=0,"promo line",IF(ABS(H47-F47*G47)&lt;=0.011,"OK","CHECK"))</f>
        <v>OK</v>
      </c>
    </row>
    <row r="48" customFormat="false" ht="15" hidden="false" customHeight="true" outlineLevel="0" collapsed="false">
      <c r="A48" s="4" t="s">
        <v>94</v>
      </c>
      <c r="B48" s="4" t="s">
        <v>46</v>
      </c>
      <c r="C48" s="4" t="s">
        <v>95</v>
      </c>
      <c r="D48" s="4" t="s">
        <v>8</v>
      </c>
      <c r="E48" s="4" t="s">
        <v>40</v>
      </c>
      <c r="F48" s="5" t="n">
        <v>331.15</v>
      </c>
      <c r="G48" s="11" t="n">
        <v>1.799</v>
      </c>
      <c r="H48" s="5" t="n">
        <f aca="false">ROUND(F48*G48,2)</f>
        <v>595.74</v>
      </c>
      <c r="I48" s="11" t="n">
        <v>-77.82</v>
      </c>
      <c r="J48" s="5" t="n">
        <v>517.92</v>
      </c>
      <c r="K48" s="4" t="n">
        <v>10</v>
      </c>
      <c r="L48" s="5"/>
      <c r="M48" s="6" t="n">
        <f aca="false">IF(F48&gt;0,J48/F48,"")</f>
        <v>1.56400422769138</v>
      </c>
      <c r="N48" s="6" t="n">
        <f aca="false">IF(F48&gt;0,J48/F48/(1+K48/100),"")</f>
        <v>1.42182202517398</v>
      </c>
      <c r="O48" s="4" t="str">
        <f aca="false">IF(ABS(ROUND(F48*G48+I48,2)-J48)&lt;=0.025,"OK","CHECK")</f>
        <v>OK</v>
      </c>
      <c r="P48" s="4" t="str">
        <f aca="false">IF(F48=0,"promo line",IF(ABS(H48-F48*G48)&lt;=0.011,"OK","CHECK"))</f>
        <v>OK</v>
      </c>
    </row>
    <row r="49" customFormat="false" ht="15" hidden="false" customHeight="true" outlineLevel="0" collapsed="false">
      <c r="A49" s="4" t="s">
        <v>96</v>
      </c>
      <c r="B49" s="4" t="s">
        <v>43</v>
      </c>
      <c r="C49" s="4" t="s">
        <v>97</v>
      </c>
      <c r="D49" s="4" t="s">
        <v>8</v>
      </c>
      <c r="E49" s="4" t="s">
        <v>40</v>
      </c>
      <c r="F49" s="5" t="n">
        <v>401.13</v>
      </c>
      <c r="G49" s="11" t="n">
        <v>1.799</v>
      </c>
      <c r="H49" s="5" t="n">
        <f aca="false">ROUND(F49*G49,2)</f>
        <v>721.63</v>
      </c>
      <c r="I49" s="11" t="n">
        <v>-98.678</v>
      </c>
      <c r="J49" s="5" t="n">
        <v>622.97</v>
      </c>
      <c r="K49" s="4" t="n">
        <v>10</v>
      </c>
      <c r="L49" s="5"/>
      <c r="M49" s="6" t="n">
        <f aca="false">IF(F49&gt;0,J49/F49,"")</f>
        <v>1.55303766858624</v>
      </c>
      <c r="N49" s="6" t="n">
        <f aca="false">IF(F49&gt;0,J49/F49/(1+K49/100),"")</f>
        <v>1.41185242598749</v>
      </c>
      <c r="O49" s="4" t="str">
        <f aca="false">IF(ABS(ROUND(F49*G49+I49,2)-J49)&lt;=0.025,"OK","CHECK")</f>
        <v>OK</v>
      </c>
      <c r="P49" s="4" t="str">
        <f aca="false">IF(F49=0,"promo line",IF(ABS(H49-F49*G49)&lt;=0.011,"OK","CHECK"))</f>
        <v>OK</v>
      </c>
    </row>
    <row r="50" customFormat="false" ht="15" hidden="false" customHeight="true" outlineLevel="0" collapsed="false">
      <c r="A50" s="4" t="s">
        <v>96</v>
      </c>
      <c r="B50" s="4" t="s">
        <v>43</v>
      </c>
      <c r="C50" s="4" t="s">
        <v>98</v>
      </c>
      <c r="D50" s="4" t="s">
        <v>8</v>
      </c>
      <c r="E50" s="4" t="s">
        <v>40</v>
      </c>
      <c r="F50" s="5" t="n">
        <v>956.74</v>
      </c>
      <c r="G50" s="11" t="n">
        <v>1.799</v>
      </c>
      <c r="H50" s="5" t="n">
        <f aca="false">ROUND(F50*G50,2)</f>
        <v>1721.18</v>
      </c>
      <c r="I50" s="11" t="n">
        <v>-235.358</v>
      </c>
      <c r="J50" s="5" t="n">
        <v>1485.81</v>
      </c>
      <c r="K50" s="4" t="n">
        <v>10</v>
      </c>
      <c r="L50" s="5" t="n">
        <v>703.88</v>
      </c>
      <c r="M50" s="6" t="n">
        <f aca="false">IF(F50&gt;0,J50/F50,"")</f>
        <v>1.55299245354015</v>
      </c>
      <c r="N50" s="6" t="n">
        <f aca="false">IF(F50&gt;0,J50/F50/(1+K50/100),"")</f>
        <v>1.41181132140013</v>
      </c>
      <c r="O50" s="4" t="str">
        <f aca="false">IF(ABS(ROUND(F50*G50+I50,2)-J50)&lt;=0.025,"OK","CHECK")</f>
        <v>OK</v>
      </c>
      <c r="P50" s="4" t="str">
        <f aca="false">IF(F50=0,"promo line",IF(ABS(H50-F50*G50)&lt;=0.011,"OK","CHECK"))</f>
        <v>OK</v>
      </c>
    </row>
    <row r="51" customFormat="false" ht="15" hidden="false" customHeight="true" outlineLevel="0" collapsed="false">
      <c r="A51" s="4" t="s">
        <v>96</v>
      </c>
      <c r="B51" s="4" t="s">
        <v>43</v>
      </c>
      <c r="C51" s="4" t="s">
        <v>98</v>
      </c>
      <c r="D51" s="4" t="s">
        <v>8</v>
      </c>
      <c r="E51" s="4" t="s">
        <v>41</v>
      </c>
      <c r="F51" s="5" t="n">
        <v>48.33</v>
      </c>
      <c r="G51" s="11" t="n">
        <v>0.899</v>
      </c>
      <c r="H51" s="5" t="n">
        <f aca="false">ROUND(F51*G51,2)</f>
        <v>43.45</v>
      </c>
      <c r="I51" s="11" t="n">
        <v>0</v>
      </c>
      <c r="J51" s="5" t="n">
        <v>43.44</v>
      </c>
      <c r="K51" s="4" t="n">
        <v>21</v>
      </c>
      <c r="L51" s="5" t="n">
        <v>17.77</v>
      </c>
      <c r="M51" s="6" t="n">
        <f aca="false">IF(F51&gt;0,J51/F51,"")</f>
        <v>0.898820608317815</v>
      </c>
      <c r="N51" s="6" t="n">
        <f aca="false">IF(F51&gt;0,J51/F51/(1+K51/100),"")</f>
        <v>0.742826949022988</v>
      </c>
      <c r="O51" s="4" t="str">
        <f aca="false">IF(ABS(ROUND(F51*G51+I51,2)-J51)&lt;=0.025,"OK","CHECK")</f>
        <v>OK</v>
      </c>
      <c r="P51" s="4" t="str">
        <f aca="false">IF(F51=0,"promo line",IF(ABS(H51-F51*G51)&lt;=0.011,"OK","CHECK"))</f>
        <v>OK</v>
      </c>
    </row>
    <row r="52" customFormat="false" ht="15" hidden="false" customHeight="true" outlineLevel="0" collapsed="false">
      <c r="A52" s="4" t="s">
        <v>99</v>
      </c>
      <c r="B52" s="4" t="s">
        <v>43</v>
      </c>
      <c r="C52" s="4" t="s">
        <v>100</v>
      </c>
      <c r="D52" s="4" t="s">
        <v>8</v>
      </c>
      <c r="E52" s="4" t="s">
        <v>40</v>
      </c>
      <c r="F52" s="5" t="n">
        <v>298.51</v>
      </c>
      <c r="G52" s="11" t="n">
        <v>1.799</v>
      </c>
      <c r="H52" s="5" t="n">
        <f aca="false">ROUND(F52*G52,2)</f>
        <v>537.02</v>
      </c>
      <c r="I52" s="11" t="n">
        <v>-73.433</v>
      </c>
      <c r="J52" s="5" t="n">
        <v>463.59</v>
      </c>
      <c r="K52" s="4" t="n">
        <v>10</v>
      </c>
      <c r="L52" s="5"/>
      <c r="M52" s="6" t="n">
        <f aca="false">IF(F52&gt;0,J52/F52,"")</f>
        <v>1.55301329938696</v>
      </c>
      <c r="N52" s="6" t="n">
        <f aca="false">IF(F52&gt;0,J52/F52/(1+K52/100),"")</f>
        <v>1.41183027216996</v>
      </c>
      <c r="O52" s="4" t="str">
        <f aca="false">IF(ABS(ROUND(F52*G52+I52,2)-J52)&lt;=0.025,"OK","CHECK")</f>
        <v>OK</v>
      </c>
      <c r="P52" s="4" t="str">
        <f aca="false">IF(F52=0,"promo line",IF(ABS(H52-F52*G52)&lt;=0.011,"OK","CHECK"))</f>
        <v>OK</v>
      </c>
    </row>
    <row r="53" customFormat="false" ht="15" hidden="false" customHeight="true" outlineLevel="0" collapsed="false">
      <c r="A53" s="4" t="s">
        <v>99</v>
      </c>
      <c r="B53" s="4" t="s">
        <v>43</v>
      </c>
      <c r="C53" s="4" t="s">
        <v>100</v>
      </c>
      <c r="D53" s="4" t="s">
        <v>8</v>
      </c>
      <c r="E53" s="4" t="s">
        <v>41</v>
      </c>
      <c r="F53" s="5" t="n">
        <v>14.53</v>
      </c>
      <c r="G53" s="11" t="n">
        <v>0.899</v>
      </c>
      <c r="H53" s="5" t="n">
        <f aca="false">ROUND(F53*G53,2)</f>
        <v>13.06</v>
      </c>
      <c r="I53" s="11" t="n">
        <v>0</v>
      </c>
      <c r="J53" s="5" t="n">
        <v>13.06</v>
      </c>
      <c r="K53" s="4" t="n">
        <v>21</v>
      </c>
      <c r="L53" s="5"/>
      <c r="M53" s="6" t="n">
        <f aca="false">IF(F53&gt;0,J53/F53,"")</f>
        <v>0.898830006882313</v>
      </c>
      <c r="N53" s="6" t="n">
        <f aca="false">IF(F53&gt;0,J53/F53/(1+K53/100),"")</f>
        <v>0.742834716431663</v>
      </c>
      <c r="O53" s="4" t="str">
        <f aca="false">IF(ABS(ROUND(F53*G53+I53,2)-J53)&lt;=0.025,"OK","CHECK")</f>
        <v>OK</v>
      </c>
      <c r="P53" s="4" t="str">
        <f aca="false">IF(F53=0,"promo line",IF(ABS(H53-F53*G53)&lt;=0.011,"OK","CHECK"))</f>
        <v>OK</v>
      </c>
    </row>
    <row r="54" customFormat="false" ht="15" hidden="false" customHeight="true" outlineLevel="0" collapsed="false">
      <c r="A54" s="4" t="s">
        <v>101</v>
      </c>
      <c r="B54" s="4" t="s">
        <v>102</v>
      </c>
      <c r="C54" s="4" t="s">
        <v>103</v>
      </c>
      <c r="D54" s="4" t="s">
        <v>8</v>
      </c>
      <c r="E54" s="4" t="s">
        <v>41</v>
      </c>
      <c r="F54" s="5" t="n">
        <v>42.05</v>
      </c>
      <c r="G54" s="11" t="n">
        <v>0.899</v>
      </c>
      <c r="H54" s="5" t="n">
        <f aca="false">ROUND(F54*G54,2)</f>
        <v>37.8</v>
      </c>
      <c r="I54" s="11" t="n">
        <v>0</v>
      </c>
      <c r="J54" s="5" t="n">
        <v>37.8</v>
      </c>
      <c r="K54" s="4" t="n">
        <v>21</v>
      </c>
      <c r="L54" s="5"/>
      <c r="M54" s="6" t="n">
        <f aca="false">IF(F54&gt;0,J54/F54,"")</f>
        <v>0.898929845422117</v>
      </c>
      <c r="N54" s="6" t="n">
        <f aca="false">IF(F54&gt;0,J54/F54/(1+K54/100),"")</f>
        <v>0.742917227621584</v>
      </c>
      <c r="O54" s="4" t="str">
        <f aca="false">IF(ABS(ROUND(F54*G54+I54,2)-J54)&lt;=0.025,"OK","CHECK")</f>
        <v>OK</v>
      </c>
      <c r="P54" s="4" t="str">
        <f aca="false">IF(F54=0,"promo line",IF(ABS(H54-F54*G54)&lt;=0.011,"OK","CHECK"))</f>
        <v>OK</v>
      </c>
    </row>
    <row r="55" customFormat="false" ht="15" hidden="false" customHeight="true" outlineLevel="0" collapsed="false">
      <c r="A55" s="4" t="s">
        <v>101</v>
      </c>
      <c r="B55" s="4" t="s">
        <v>102</v>
      </c>
      <c r="C55" s="4" t="s">
        <v>103</v>
      </c>
      <c r="D55" s="4" t="s">
        <v>8</v>
      </c>
      <c r="E55" s="4" t="s">
        <v>40</v>
      </c>
      <c r="F55" s="5" t="n">
        <v>722.62</v>
      </c>
      <c r="G55" s="11" t="n">
        <v>1.799</v>
      </c>
      <c r="H55" s="5" t="n">
        <f aca="false">ROUND(F55*G55,2)</f>
        <v>1299.99</v>
      </c>
      <c r="I55" s="11" t="n">
        <v>-115.619</v>
      </c>
      <c r="J55" s="5" t="n">
        <v>1184.38</v>
      </c>
      <c r="K55" s="4" t="n">
        <v>10</v>
      </c>
      <c r="L55" s="5"/>
      <c r="M55" s="6" t="n">
        <f aca="false">IF(F55&gt;0,J55/F55,"")</f>
        <v>1.63900805402563</v>
      </c>
      <c r="N55" s="6" t="n">
        <f aca="false">IF(F55&gt;0,J55/F55/(1+K55/100),"")</f>
        <v>1.49000732184148</v>
      </c>
      <c r="O55" s="4" t="str">
        <f aca="false">IF(ABS(ROUND(F55*G55+I55,2)-J55)&lt;=0.025,"OK","CHECK")</f>
        <v>OK</v>
      </c>
      <c r="P55" s="4" t="str">
        <f aca="false">IF(F55=0,"promo line",IF(ABS(H55-F55*G55)&lt;=0.011,"OK","CHECK"))</f>
        <v>OK</v>
      </c>
    </row>
    <row r="56" customFormat="false" ht="15" hidden="false" customHeight="true" outlineLevel="0" collapsed="false">
      <c r="A56" s="4" t="s">
        <v>101</v>
      </c>
      <c r="B56" s="4" t="s">
        <v>102</v>
      </c>
      <c r="C56" s="4" t="s">
        <v>104</v>
      </c>
      <c r="D56" s="4" t="s">
        <v>8</v>
      </c>
      <c r="E56" s="4" t="s">
        <v>40</v>
      </c>
      <c r="F56" s="5" t="n">
        <v>85.29</v>
      </c>
      <c r="G56" s="11" t="n">
        <v>1.799</v>
      </c>
      <c r="H56" s="5" t="n">
        <f aca="false">ROUND(F56*G56,2)</f>
        <v>153.44</v>
      </c>
      <c r="I56" s="11" t="n">
        <v>-13.646</v>
      </c>
      <c r="J56" s="5" t="n">
        <v>139.79</v>
      </c>
      <c r="K56" s="4" t="n">
        <v>10</v>
      </c>
      <c r="L56" s="5"/>
      <c r="M56" s="6" t="n">
        <f aca="false">IF(F56&gt;0,J56/F56,"")</f>
        <v>1.63899636534178</v>
      </c>
      <c r="N56" s="6" t="n">
        <f aca="false">IF(F56&gt;0,J56/F56/(1+K56/100),"")</f>
        <v>1.48999669576525</v>
      </c>
      <c r="O56" s="4" t="str">
        <f aca="false">IF(ABS(ROUND(F56*G56+I56,2)-J56)&lt;=0.025,"OK","CHECK")</f>
        <v>OK</v>
      </c>
      <c r="P56" s="4" t="str">
        <f aca="false">IF(F56=0,"promo line",IF(ABS(H56-F56*G56)&lt;=0.011,"OK","CHECK"))</f>
        <v>OK</v>
      </c>
    </row>
    <row r="57" customFormat="false" ht="15" hidden="false" customHeight="true" outlineLevel="0" collapsed="false">
      <c r="A57" s="4" t="s">
        <v>105</v>
      </c>
      <c r="B57" s="4" t="s">
        <v>106</v>
      </c>
      <c r="C57" s="4" t="s">
        <v>107</v>
      </c>
      <c r="D57" s="4" t="s">
        <v>6</v>
      </c>
      <c r="E57" s="4" t="s">
        <v>40</v>
      </c>
      <c r="F57" s="5" t="n">
        <v>400.14</v>
      </c>
      <c r="G57" s="11" t="n">
        <v>1.754</v>
      </c>
      <c r="H57" s="5" t="n">
        <f aca="false">ROUND(F57*G57,2)</f>
        <v>701.85</v>
      </c>
      <c r="I57" s="11" t="n">
        <v>-104.837</v>
      </c>
      <c r="J57" s="5" t="n">
        <v>597.01</v>
      </c>
      <c r="K57" s="4" t="n">
        <v>10</v>
      </c>
      <c r="L57" s="5"/>
      <c r="M57" s="6" t="n">
        <f aca="false">IF(F57&gt;0,J57/F57,"")</f>
        <v>1.49200279902034</v>
      </c>
      <c r="N57" s="6" t="n">
        <f aca="false">IF(F57&gt;0,J57/F57/(1+K57/100),"")</f>
        <v>1.35636618092758</v>
      </c>
      <c r="O57" s="4" t="str">
        <f aca="false">IF(ABS(ROUND(F57*G57+I57,2)-J57)&lt;=0.025,"OK","CHECK")</f>
        <v>OK</v>
      </c>
      <c r="P57" s="4" t="str">
        <f aca="false">IF(F57=0,"promo line",IF(ABS(H57-F57*G57)&lt;=0.011,"OK","CHECK"))</f>
        <v>OK</v>
      </c>
    </row>
    <row r="58" customFormat="false" ht="15" hidden="false" customHeight="true" outlineLevel="0" collapsed="false">
      <c r="A58" s="4" t="s">
        <v>105</v>
      </c>
      <c r="B58" s="4" t="s">
        <v>106</v>
      </c>
      <c r="C58" s="4" t="s">
        <v>107</v>
      </c>
      <c r="D58" s="4" t="s">
        <v>6</v>
      </c>
      <c r="E58" s="4" t="s">
        <v>41</v>
      </c>
      <c r="F58" s="5" t="n">
        <v>24.04</v>
      </c>
      <c r="G58" s="11" t="n">
        <v>0.995</v>
      </c>
      <c r="H58" s="5" t="n">
        <f aca="false">ROUND(F58*G58,2)</f>
        <v>23.92</v>
      </c>
      <c r="I58" s="11" t="n">
        <v>-11.635</v>
      </c>
      <c r="J58" s="5" t="n">
        <v>12.28</v>
      </c>
      <c r="K58" s="4" t="n">
        <v>21</v>
      </c>
      <c r="L58" s="5"/>
      <c r="M58" s="6" t="n">
        <f aca="false">IF(F58&gt;0,J58/F58,"")</f>
        <v>0.5108153078203</v>
      </c>
      <c r="N58" s="6" t="n">
        <f aca="false">IF(F58&gt;0,J58/F58/(1+K58/100),"")</f>
        <v>0.422161411421735</v>
      </c>
      <c r="O58" s="4" t="str">
        <f aca="false">IF(ABS(ROUND(F58*G58+I58,2)-J58)&lt;=0.025,"OK","CHECK")</f>
        <v>OK</v>
      </c>
      <c r="P58" s="4" t="str">
        <f aca="false">IF(F58=0,"promo line",IF(ABS(H58-F58*G58)&lt;=0.011,"OK","CHECK"))</f>
        <v>OK</v>
      </c>
    </row>
    <row r="59" customFormat="false" ht="15" hidden="false" customHeight="true" outlineLevel="0" collapsed="false">
      <c r="A59" s="4" t="s">
        <v>108</v>
      </c>
      <c r="B59" s="4" t="s">
        <v>55</v>
      </c>
      <c r="C59" s="4" t="s">
        <v>93</v>
      </c>
      <c r="D59" s="4" t="s">
        <v>9</v>
      </c>
      <c r="E59" s="4" t="s">
        <v>40</v>
      </c>
      <c r="F59" s="5" t="n">
        <v>550</v>
      </c>
      <c r="G59" s="11" t="n">
        <v>1.924</v>
      </c>
      <c r="H59" s="5" t="n">
        <f aca="false">ROUND(F59*G59,2)</f>
        <v>1058.2</v>
      </c>
      <c r="I59" s="11" t="n">
        <v>-153.45</v>
      </c>
      <c r="J59" s="5" t="n">
        <v>904.75</v>
      </c>
      <c r="K59" s="4" t="n">
        <v>10</v>
      </c>
      <c r="L59" s="5"/>
      <c r="M59" s="6" t="n">
        <f aca="false">IF(F59&gt;0,J59/F59,"")</f>
        <v>1.645</v>
      </c>
      <c r="N59" s="6" t="n">
        <f aca="false">IF(F59&gt;0,J59/F59/(1+K59/100),"")</f>
        <v>1.49545454545455</v>
      </c>
      <c r="O59" s="4" t="str">
        <f aca="false">IF(ABS(ROUND(F59*G59+I59,2)-J59)&lt;=0.025,"OK","CHECK")</f>
        <v>OK</v>
      </c>
      <c r="P59" s="4" t="str">
        <f aca="false">IF(F59=0,"promo line",IF(ABS(H59-F59*G59)&lt;=0.011,"OK","CHECK"))</f>
        <v>OK</v>
      </c>
    </row>
    <row r="60" customFormat="false" ht="15" hidden="false" customHeight="true" outlineLevel="0" collapsed="false">
      <c r="A60" s="4" t="s">
        <v>108</v>
      </c>
      <c r="B60" s="4" t="s">
        <v>55</v>
      </c>
      <c r="C60" s="4" t="s">
        <v>93</v>
      </c>
      <c r="D60" s="4" t="s">
        <v>9</v>
      </c>
      <c r="E60" s="4" t="s">
        <v>57</v>
      </c>
      <c r="F60" s="5" t="n">
        <v>0</v>
      </c>
      <c r="G60" s="11" t="n">
        <v>1.924</v>
      </c>
      <c r="H60" s="5" t="n">
        <f aca="false">ROUND(F60*G60,2)</f>
        <v>0</v>
      </c>
      <c r="I60" s="11" t="n">
        <v>-27.5</v>
      </c>
      <c r="J60" s="5" t="n">
        <v>-27.5</v>
      </c>
      <c r="K60" s="4" t="n">
        <v>10</v>
      </c>
      <c r="L60" s="5"/>
      <c r="M60" s="6" t="str">
        <f aca="false">IF(F60&gt;0,J60/F60,"")</f>
        <v/>
      </c>
      <c r="N60" s="6" t="str">
        <f aca="false">IF(F60&gt;0,J60/F60/(1+K60/100),"")</f>
        <v/>
      </c>
      <c r="O60" s="4" t="str">
        <f aca="false">IF(ABS(ROUND(F60*G60+I60,2)-J60)&lt;=0.025,"OK","CHECK")</f>
        <v>OK</v>
      </c>
      <c r="P60" s="4" t="str">
        <f aca="false">IF(F60=0,"promo line",IF(ABS(H60-F60*G60)&lt;=0.011,"OK","CHECK"))</f>
        <v>promo line</v>
      </c>
    </row>
    <row r="61" customFormat="false" ht="15" hidden="false" customHeight="true" outlineLevel="0" collapsed="false">
      <c r="A61" s="4" t="s">
        <v>109</v>
      </c>
      <c r="B61" s="4" t="s">
        <v>110</v>
      </c>
      <c r="C61" s="4" t="s">
        <v>111</v>
      </c>
      <c r="D61" s="4" t="s">
        <v>6</v>
      </c>
      <c r="E61" s="4" t="s">
        <v>41</v>
      </c>
      <c r="F61" s="5" t="n">
        <v>59.58</v>
      </c>
      <c r="G61" s="11" t="n">
        <v>0.995</v>
      </c>
      <c r="H61" s="5" t="n">
        <f aca="false">ROUND(F61*G61,2)</f>
        <v>59.28</v>
      </c>
      <c r="I61" s="11" t="n">
        <v>-28.837</v>
      </c>
      <c r="J61" s="5" t="n">
        <v>30.44</v>
      </c>
      <c r="K61" s="4" t="n">
        <v>21</v>
      </c>
      <c r="L61" s="5"/>
      <c r="M61" s="6" t="n">
        <f aca="false">IF(F61&gt;0,J61/F61,"")</f>
        <v>0.510909701242028</v>
      </c>
      <c r="N61" s="6" t="n">
        <f aca="false">IF(F61&gt;0,J61/F61/(1+K61/100),"")</f>
        <v>0.422239422514072</v>
      </c>
      <c r="O61" s="4" t="str">
        <f aca="false">IF(ABS(ROUND(F61*G61+I61,2)-J61)&lt;=0.025,"OK","CHECK")</f>
        <v>OK</v>
      </c>
      <c r="P61" s="4" t="str">
        <f aca="false">IF(F61=0,"promo line",IF(ABS(H61-F61*G61)&lt;=0.011,"OK","CHECK"))</f>
        <v>OK</v>
      </c>
    </row>
    <row r="62" customFormat="false" ht="15" hidden="false" customHeight="true" outlineLevel="0" collapsed="false">
      <c r="A62" s="4" t="s">
        <v>109</v>
      </c>
      <c r="B62" s="4" t="s">
        <v>110</v>
      </c>
      <c r="C62" s="4" t="s">
        <v>111</v>
      </c>
      <c r="D62" s="4" t="s">
        <v>6</v>
      </c>
      <c r="E62" s="4" t="s">
        <v>40</v>
      </c>
      <c r="F62" s="5" t="n">
        <v>728.3</v>
      </c>
      <c r="G62" s="11" t="n">
        <v>1.754</v>
      </c>
      <c r="H62" s="5" t="n">
        <f aca="false">ROUND(F62*G62,2)</f>
        <v>1277.44</v>
      </c>
      <c r="I62" s="11" t="n">
        <v>-217.762</v>
      </c>
      <c r="J62" s="5" t="n">
        <v>1059.68</v>
      </c>
      <c r="K62" s="4" t="n">
        <v>10</v>
      </c>
      <c r="L62" s="5"/>
      <c r="M62" s="6" t="n">
        <f aca="false">IF(F62&gt;0,J62/F62,"")</f>
        <v>1.45500480571193</v>
      </c>
      <c r="N62" s="6" t="n">
        <f aca="false">IF(F62&gt;0,J62/F62/(1+K62/100),"")</f>
        <v>1.3227316415563</v>
      </c>
      <c r="O62" s="4" t="str">
        <f aca="false">IF(ABS(ROUND(F62*G62+I62,2)-J62)&lt;=0.025,"OK","CHECK")</f>
        <v>OK</v>
      </c>
      <c r="P62" s="4" t="str">
        <f aca="false">IF(F62=0,"promo line",IF(ABS(H62-F62*G62)&lt;=0.011,"OK","CHECK"))</f>
        <v>OK</v>
      </c>
    </row>
    <row r="63" customFormat="false" ht="15" hidden="false" customHeight="true" outlineLevel="0" collapsed="false">
      <c r="A63" s="4" t="s">
        <v>112</v>
      </c>
      <c r="B63" s="4" t="s">
        <v>49</v>
      </c>
      <c r="C63" s="4" t="s">
        <v>113</v>
      </c>
      <c r="D63" s="4" t="s">
        <v>7</v>
      </c>
      <c r="E63" s="4" t="s">
        <v>40</v>
      </c>
      <c r="F63" s="5" t="n">
        <v>808.23</v>
      </c>
      <c r="G63" s="11" t="n">
        <v>1.742</v>
      </c>
      <c r="H63" s="5" t="n">
        <f aca="false">ROUND(F63*G63,2)</f>
        <v>1407.94</v>
      </c>
      <c r="I63" s="11" t="n">
        <v>-231.962</v>
      </c>
      <c r="J63" s="5" t="n">
        <v>1175.98</v>
      </c>
      <c r="K63" s="4" t="n">
        <v>10</v>
      </c>
      <c r="L63" s="5"/>
      <c r="M63" s="6" t="n">
        <f aca="false">IF(F63&gt;0,J63/F63,"")</f>
        <v>1.45500661940289</v>
      </c>
      <c r="N63" s="6" t="n">
        <f aca="false">IF(F63&gt;0,J63/F63/(1+K63/100),"")</f>
        <v>1.32273329036627</v>
      </c>
      <c r="O63" s="4" t="str">
        <f aca="false">IF(ABS(ROUND(F63*G63+I63,2)-J63)&lt;=0.025,"OK","CHECK")</f>
        <v>OK</v>
      </c>
      <c r="P63" s="4" t="str">
        <f aca="false">IF(F63=0,"promo line",IF(ABS(H63-F63*G63)&lt;=0.011,"OK","CHECK"))</f>
        <v>OK</v>
      </c>
    </row>
    <row r="64" customFormat="false" ht="15" hidden="false" customHeight="true" outlineLevel="0" collapsed="false">
      <c r="A64" s="4" t="s">
        <v>112</v>
      </c>
      <c r="B64" s="4" t="s">
        <v>49</v>
      </c>
      <c r="C64" s="4" t="s">
        <v>113</v>
      </c>
      <c r="D64" s="4" t="s">
        <v>7</v>
      </c>
      <c r="E64" s="4" t="s">
        <v>41</v>
      </c>
      <c r="F64" s="5" t="n">
        <v>57.13</v>
      </c>
      <c r="G64" s="11" t="n">
        <v>0.995</v>
      </c>
      <c r="H64" s="5" t="n">
        <f aca="false">ROUND(F64*G64,2)</f>
        <v>56.84</v>
      </c>
      <c r="I64" s="11" t="n">
        <v>-27.651</v>
      </c>
      <c r="J64" s="5" t="n">
        <v>29.19</v>
      </c>
      <c r="K64" s="4" t="n">
        <v>21</v>
      </c>
      <c r="L64" s="5"/>
      <c r="M64" s="6" t="n">
        <f aca="false">IF(F64&gt;0,J64/F64,"")</f>
        <v>0.510939961491336</v>
      </c>
      <c r="N64" s="6" t="n">
        <f aca="false">IF(F64&gt;0,J64/F64/(1+K64/100),"")</f>
        <v>0.422264430984575</v>
      </c>
      <c r="O64" s="4" t="str">
        <f aca="false">IF(ABS(ROUND(F64*G64+I64,2)-J64)&lt;=0.025,"OK","CHECK")</f>
        <v>OK</v>
      </c>
      <c r="P64" s="4" t="str">
        <f aca="false">IF(F64=0,"promo line",IF(ABS(H64-F64*G64)&lt;=0.011,"OK","CHECK"))</f>
        <v>OK</v>
      </c>
    </row>
    <row r="65" customFormat="false" ht="15" hidden="false" customHeight="true" outlineLevel="0" collapsed="false">
      <c r="A65" s="4" t="s">
        <v>114</v>
      </c>
      <c r="B65" s="4" t="s">
        <v>106</v>
      </c>
      <c r="C65" s="4" t="s">
        <v>115</v>
      </c>
      <c r="D65" s="4" t="s">
        <v>9</v>
      </c>
      <c r="E65" s="4" t="s">
        <v>40</v>
      </c>
      <c r="F65" s="5" t="n">
        <v>400</v>
      </c>
      <c r="G65" s="11" t="n">
        <v>1.754</v>
      </c>
      <c r="H65" s="5" t="n">
        <f aca="false">ROUND(F65*G65,2)</f>
        <v>701.6</v>
      </c>
      <c r="I65" s="11" t="n">
        <v>-107.2</v>
      </c>
      <c r="J65" s="5" t="n">
        <v>594.4</v>
      </c>
      <c r="K65" s="4" t="n">
        <v>10</v>
      </c>
      <c r="L65" s="5"/>
      <c r="M65" s="6" t="n">
        <f aca="false">IF(F65&gt;0,J65/F65,"")</f>
        <v>1.486</v>
      </c>
      <c r="N65" s="6" t="n">
        <f aca="false">IF(F65&gt;0,J65/F65/(1+K65/100),"")</f>
        <v>1.35090909090909</v>
      </c>
      <c r="O65" s="4" t="str">
        <f aca="false">IF(ABS(ROUND(F65*G65+I65,2)-J65)&lt;=0.025,"OK","CHECK")</f>
        <v>OK</v>
      </c>
      <c r="P65" s="4" t="str">
        <f aca="false">IF(F65=0,"promo line",IF(ABS(H65-F65*G65)&lt;=0.011,"OK","CHECK"))</f>
        <v>OK</v>
      </c>
    </row>
    <row r="66" customFormat="false" ht="15" hidden="false" customHeight="true" outlineLevel="0" collapsed="false">
      <c r="A66" s="4" t="s">
        <v>114</v>
      </c>
      <c r="B66" s="4" t="s">
        <v>68</v>
      </c>
      <c r="C66" s="4" t="s">
        <v>116</v>
      </c>
      <c r="D66" s="4" t="s">
        <v>10</v>
      </c>
      <c r="E66" s="4" t="s">
        <v>40</v>
      </c>
      <c r="F66" s="5" t="n">
        <v>617</v>
      </c>
      <c r="G66" s="11" t="n">
        <v>1.754</v>
      </c>
      <c r="H66" s="5" t="n">
        <f aca="false">ROUND(F66*G66,2)</f>
        <v>1082.22</v>
      </c>
      <c r="I66" s="11" t="n">
        <v>-186.951</v>
      </c>
      <c r="J66" s="5" t="n">
        <v>895.27</v>
      </c>
      <c r="K66" s="4" t="n">
        <v>10</v>
      </c>
      <c r="L66" s="5"/>
      <c r="M66" s="6" t="n">
        <f aca="false">IF(F66&gt;0,J66/F66,"")</f>
        <v>1.45100486223663</v>
      </c>
      <c r="N66" s="6" t="n">
        <f aca="false">IF(F66&gt;0,J66/F66/(1+K66/100),"")</f>
        <v>1.31909532930603</v>
      </c>
      <c r="O66" s="4" t="str">
        <f aca="false">IF(ABS(ROUND(F66*G66+I66,2)-J66)&lt;=0.025,"OK","CHECK")</f>
        <v>OK</v>
      </c>
      <c r="P66" s="4" t="str">
        <f aca="false">IF(F66=0,"promo line",IF(ABS(H66-F66*G66)&lt;=0.011,"OK","CHECK"))</f>
        <v>OK</v>
      </c>
    </row>
    <row r="67" customFormat="false" ht="15" hidden="false" customHeight="true" outlineLevel="0" collapsed="false">
      <c r="A67" s="4" t="s">
        <v>114</v>
      </c>
      <c r="B67" s="4" t="s">
        <v>68</v>
      </c>
      <c r="C67" s="4" t="s">
        <v>116</v>
      </c>
      <c r="D67" s="4" t="s">
        <v>10</v>
      </c>
      <c r="E67" s="4" t="s">
        <v>41</v>
      </c>
      <c r="F67" s="5" t="n">
        <v>36.21</v>
      </c>
      <c r="G67" s="11" t="n">
        <v>0.995</v>
      </c>
      <c r="H67" s="5" t="n">
        <f aca="false">ROUND(F67*G67,2)</f>
        <v>36.03</v>
      </c>
      <c r="I67" s="11" t="n">
        <v>-17.526</v>
      </c>
      <c r="J67" s="5" t="n">
        <v>18.5</v>
      </c>
      <c r="K67" s="4" t="n">
        <v>21</v>
      </c>
      <c r="L67" s="5"/>
      <c r="M67" s="6" t="n">
        <f aca="false">IF(F67&gt;0,J67/F67,"")</f>
        <v>0.510908588787628</v>
      </c>
      <c r="N67" s="6" t="n">
        <f aca="false">IF(F67&gt;0,J67/F67/(1+K67/100),"")</f>
        <v>0.422238503130271</v>
      </c>
      <c r="O67" s="4" t="str">
        <f aca="false">IF(ABS(ROUND(F67*G67+I67,2)-J67)&lt;=0.025,"OK","CHECK")</f>
        <v>OK</v>
      </c>
      <c r="P67" s="4" t="str">
        <f aca="false">IF(F67=0,"promo line",IF(ABS(H67-F67*G67)&lt;=0.011,"OK","CHECK"))</f>
        <v>OK</v>
      </c>
    </row>
    <row r="68" customFormat="false" ht="15" hidden="false" customHeight="true" outlineLevel="0" collapsed="false">
      <c r="A68" s="4" t="s">
        <v>117</v>
      </c>
      <c r="B68" s="4" t="s">
        <v>70</v>
      </c>
      <c r="C68" s="4" t="s">
        <v>118</v>
      </c>
      <c r="D68" s="4" t="s">
        <v>11</v>
      </c>
      <c r="E68" s="4" t="s">
        <v>40</v>
      </c>
      <c r="F68" s="5" t="n">
        <v>382.13</v>
      </c>
      <c r="G68" s="11" t="n">
        <v>1.645</v>
      </c>
      <c r="H68" s="5" t="n">
        <f aca="false">ROUND(F68*G68,2)</f>
        <v>628.6</v>
      </c>
      <c r="I68" s="11" t="n">
        <v>-106.232</v>
      </c>
      <c r="J68" s="5" t="n">
        <v>522.37</v>
      </c>
      <c r="K68" s="4" t="n">
        <v>10</v>
      </c>
      <c r="L68" s="5"/>
      <c r="M68" s="6" t="n">
        <f aca="false">IF(F68&gt;0,J68/F68,"")</f>
        <v>1.36699552508309</v>
      </c>
      <c r="N68" s="6" t="n">
        <f aca="false">IF(F68&gt;0,J68/F68/(1+K68/100),"")</f>
        <v>1.24272320462099</v>
      </c>
      <c r="O68" s="4" t="str">
        <f aca="false">IF(ABS(ROUND(F68*G68+I68,2)-J68)&lt;=0.025,"OK","CHECK")</f>
        <v>OK</v>
      </c>
      <c r="P68" s="4" t="str">
        <f aca="false">IF(F68=0,"promo line",IF(ABS(H68-F68*G68)&lt;=0.011,"OK","CHECK"))</f>
        <v>OK</v>
      </c>
    </row>
    <row r="69" customFormat="false" ht="15" hidden="false" customHeight="true" outlineLevel="0" collapsed="false">
      <c r="A69" s="4" t="s">
        <v>117</v>
      </c>
      <c r="B69" s="4" t="s">
        <v>70</v>
      </c>
      <c r="C69" s="4" t="s">
        <v>119</v>
      </c>
      <c r="D69" s="4" t="s">
        <v>11</v>
      </c>
      <c r="E69" s="4" t="s">
        <v>40</v>
      </c>
      <c r="F69" s="5" t="n">
        <v>251.49</v>
      </c>
      <c r="G69" s="11" t="n">
        <v>1.645</v>
      </c>
      <c r="H69" s="5" t="n">
        <f aca="false">ROUND(F69*G69,2)</f>
        <v>413.7</v>
      </c>
      <c r="I69" s="11" t="n">
        <v>-69.914</v>
      </c>
      <c r="J69" s="5" t="n">
        <v>343.79</v>
      </c>
      <c r="K69" s="4" t="n">
        <v>10</v>
      </c>
      <c r="L69" s="5"/>
      <c r="M69" s="6" t="n">
        <f aca="false">IF(F69&gt;0,J69/F69,"")</f>
        <v>1.36701260487495</v>
      </c>
      <c r="N69" s="6" t="n">
        <f aca="false">IF(F69&gt;0,J69/F69/(1+K69/100),"")</f>
        <v>1.2427387317045</v>
      </c>
      <c r="O69" s="4" t="str">
        <f aca="false">IF(ABS(ROUND(F69*G69+I69,2)-J69)&lt;=0.025,"OK","CHECK")</f>
        <v>OK</v>
      </c>
      <c r="P69" s="4" t="str">
        <f aca="false">IF(F69=0,"promo line",IF(ABS(H69-F69*G69)&lt;=0.011,"OK","CHECK"))</f>
        <v>OK</v>
      </c>
    </row>
    <row r="70" customFormat="false" ht="15" hidden="false" customHeight="true" outlineLevel="0" collapsed="false">
      <c r="A70" s="4" t="s">
        <v>120</v>
      </c>
      <c r="B70" s="4" t="s">
        <v>110</v>
      </c>
      <c r="C70" s="4" t="s">
        <v>121</v>
      </c>
      <c r="D70" s="4" t="s">
        <v>6</v>
      </c>
      <c r="E70" s="4" t="s">
        <v>40</v>
      </c>
      <c r="F70" s="5" t="n">
        <v>771.17</v>
      </c>
      <c r="G70" s="11" t="n">
        <v>1.754</v>
      </c>
      <c r="H70" s="5" t="n">
        <f aca="false">ROUND(F70*G70,2)</f>
        <v>1352.63</v>
      </c>
      <c r="I70" s="11" t="n">
        <v>-230.58</v>
      </c>
      <c r="J70" s="5" t="n">
        <v>1122.05</v>
      </c>
      <c r="K70" s="4" t="n">
        <v>10</v>
      </c>
      <c r="L70" s="5"/>
      <c r="M70" s="6" t="n">
        <f aca="false">IF(F70&gt;0,J70/F70,"")</f>
        <v>1.45499695268229</v>
      </c>
      <c r="N70" s="6" t="n">
        <f aca="false">IF(F70&gt;0,J70/F70/(1+K70/100),"")</f>
        <v>1.32272450243844</v>
      </c>
      <c r="O70" s="4" t="str">
        <f aca="false">IF(ABS(ROUND(F70*G70+I70,2)-J70)&lt;=0.025,"OK","CHECK")</f>
        <v>OK</v>
      </c>
      <c r="P70" s="4" t="str">
        <f aca="false">IF(F70=0,"promo line",IF(ABS(H70-F70*G70)&lt;=0.011,"OK","CHECK"))</f>
        <v>OK</v>
      </c>
    </row>
    <row r="71" customFormat="false" ht="15" hidden="false" customHeight="true" outlineLevel="0" collapsed="false">
      <c r="A71" s="4" t="s">
        <v>122</v>
      </c>
      <c r="B71" s="4" t="s">
        <v>55</v>
      </c>
      <c r="C71" s="4" t="s">
        <v>123</v>
      </c>
      <c r="D71" s="4" t="s">
        <v>7</v>
      </c>
      <c r="E71" s="4" t="s">
        <v>40</v>
      </c>
      <c r="F71" s="5" t="n">
        <v>707.39</v>
      </c>
      <c r="G71" s="11" t="n">
        <v>1.934</v>
      </c>
      <c r="H71" s="5" t="n">
        <f aca="false">ROUND(F71*G71,2)</f>
        <v>1368.09</v>
      </c>
      <c r="I71" s="11" t="n">
        <v>-203.728</v>
      </c>
      <c r="J71" s="5" t="n">
        <v>1164.36</v>
      </c>
      <c r="K71" s="4" t="n">
        <v>10</v>
      </c>
      <c r="L71" s="5"/>
      <c r="M71" s="6" t="n">
        <f aca="false">IF(F71&gt;0,J71/F71,"")</f>
        <v>1.64599443022944</v>
      </c>
      <c r="N71" s="6" t="n">
        <f aca="false">IF(F71&gt;0,J71/F71/(1+K71/100),"")</f>
        <v>1.49635857293585</v>
      </c>
      <c r="O71" s="4" t="str">
        <f aca="false">IF(ABS(ROUND(F71*G71+I71,2)-J71)&lt;=0.025,"OK","CHECK")</f>
        <v>OK</v>
      </c>
      <c r="P71" s="4" t="str">
        <f aca="false">IF(F71=0,"promo line",IF(ABS(H71-F71*G71)&lt;=0.011,"OK","CHECK"))</f>
        <v>OK</v>
      </c>
    </row>
    <row r="72" customFormat="false" ht="15" hidden="false" customHeight="true" outlineLevel="0" collapsed="false">
      <c r="A72" s="4" t="s">
        <v>122</v>
      </c>
      <c r="B72" s="4" t="s">
        <v>55</v>
      </c>
      <c r="C72" s="4" t="s">
        <v>123</v>
      </c>
      <c r="D72" s="4" t="s">
        <v>7</v>
      </c>
      <c r="E72" s="4" t="s">
        <v>57</v>
      </c>
      <c r="F72" s="5" t="n">
        <v>0</v>
      </c>
      <c r="G72" s="11" t="n">
        <v>1.934</v>
      </c>
      <c r="H72" s="5" t="n">
        <f aca="false">ROUND(F72*G72,2)</f>
        <v>0</v>
      </c>
      <c r="I72" s="11" t="n">
        <v>-35.37</v>
      </c>
      <c r="J72" s="5" t="n">
        <v>-35.37</v>
      </c>
      <c r="K72" s="4" t="n">
        <v>10</v>
      </c>
      <c r="L72" s="5"/>
      <c r="M72" s="6" t="str">
        <f aca="false">IF(F72&gt;0,J72/F72,"")</f>
        <v/>
      </c>
      <c r="N72" s="6" t="str">
        <f aca="false">IF(F72&gt;0,J72/F72/(1+K72/100),"")</f>
        <v/>
      </c>
      <c r="O72" s="4" t="str">
        <f aca="false">IF(ABS(ROUND(F72*G72+I72,2)-J72)&lt;=0.025,"OK","CHECK")</f>
        <v>OK</v>
      </c>
      <c r="P72" s="4" t="str">
        <f aca="false">IF(F72=0,"promo line",IF(ABS(H72-F72*G72)&lt;=0.011,"OK","CHECK"))</f>
        <v>promo line</v>
      </c>
    </row>
    <row r="73" customFormat="false" ht="15" hidden="false" customHeight="true" outlineLevel="0" collapsed="false">
      <c r="A73" s="4" t="s">
        <v>122</v>
      </c>
      <c r="B73" s="4" t="s">
        <v>55</v>
      </c>
      <c r="C73" s="4" t="s">
        <v>124</v>
      </c>
      <c r="D73" s="4" t="s">
        <v>7</v>
      </c>
      <c r="E73" s="4" t="s">
        <v>40</v>
      </c>
      <c r="F73" s="5" t="n">
        <v>84.1</v>
      </c>
      <c r="G73" s="11" t="n">
        <v>1.934</v>
      </c>
      <c r="H73" s="5" t="n">
        <f aca="false">ROUND(F73*G73,2)</f>
        <v>162.65</v>
      </c>
      <c r="I73" s="11" t="n">
        <v>-24.221</v>
      </c>
      <c r="J73" s="5" t="n">
        <v>138.43</v>
      </c>
      <c r="K73" s="4" t="n">
        <v>10</v>
      </c>
      <c r="L73" s="5"/>
      <c r="M73" s="6" t="n">
        <f aca="false">IF(F73&gt;0,J73/F73,"")</f>
        <v>1.64601664684899</v>
      </c>
      <c r="N73" s="6" t="n">
        <f aca="false">IF(F73&gt;0,J73/F73/(1+K73/100),"")</f>
        <v>1.49637876986272</v>
      </c>
      <c r="O73" s="4" t="str">
        <f aca="false">IF(ABS(ROUND(F73*G73+I73,2)-J73)&lt;=0.025,"OK","CHECK")</f>
        <v>OK</v>
      </c>
      <c r="P73" s="4" t="str">
        <f aca="false">IF(F73=0,"promo line",IF(ABS(H73-F73*G73)&lt;=0.011,"OK","CHECK"))</f>
        <v>OK</v>
      </c>
    </row>
    <row r="74" customFormat="false" ht="15" hidden="false" customHeight="true" outlineLevel="0" collapsed="false">
      <c r="A74" s="4" t="s">
        <v>122</v>
      </c>
      <c r="B74" s="4" t="s">
        <v>55</v>
      </c>
      <c r="C74" s="4" t="s">
        <v>124</v>
      </c>
      <c r="D74" s="4" t="s">
        <v>7</v>
      </c>
      <c r="E74" s="4" t="s">
        <v>57</v>
      </c>
      <c r="F74" s="5" t="n">
        <v>0</v>
      </c>
      <c r="G74" s="11" t="n">
        <v>1.934</v>
      </c>
      <c r="H74" s="5" t="n">
        <f aca="false">ROUND(F74*G74,2)</f>
        <v>0</v>
      </c>
      <c r="I74" s="11" t="n">
        <v>-4.205</v>
      </c>
      <c r="J74" s="5" t="n">
        <v>-4.21</v>
      </c>
      <c r="K74" s="4" t="n">
        <v>10</v>
      </c>
      <c r="L74" s="5"/>
      <c r="M74" s="6" t="str">
        <f aca="false">IF(F74&gt;0,J74/F74,"")</f>
        <v/>
      </c>
      <c r="N74" s="6" t="str">
        <f aca="false">IF(F74&gt;0,J74/F74/(1+K74/100),"")</f>
        <v/>
      </c>
      <c r="O74" s="4" t="str">
        <f aca="false">IF(ABS(ROUND(F74*G74+I74,2)-J74)&lt;=0.025,"OK","CHECK")</f>
        <v>OK</v>
      </c>
      <c r="P74" s="4" t="str">
        <f aca="false">IF(F74=0,"promo line",IF(ABS(H74-F74*G74)&lt;=0.011,"OK","CHECK"))</f>
        <v>promo line</v>
      </c>
    </row>
    <row r="75" customFormat="false" ht="15" hidden="false" customHeight="true" outlineLevel="0" collapsed="false">
      <c r="A75" s="4" t="s">
        <v>125</v>
      </c>
      <c r="B75" s="4" t="s">
        <v>102</v>
      </c>
      <c r="C75" s="4" t="s">
        <v>126</v>
      </c>
      <c r="D75" s="4" t="s">
        <v>10</v>
      </c>
      <c r="E75" s="4" t="s">
        <v>40</v>
      </c>
      <c r="F75" s="5" t="n">
        <v>527.52</v>
      </c>
      <c r="G75" s="11" t="n">
        <v>1.749</v>
      </c>
      <c r="H75" s="5" t="n">
        <f aca="false">ROUND(F75*G75,2)</f>
        <v>922.63</v>
      </c>
      <c r="I75" s="11" t="n">
        <v>-130.825</v>
      </c>
      <c r="J75" s="5" t="n">
        <v>791.81</v>
      </c>
      <c r="K75" s="4" t="n">
        <v>10</v>
      </c>
      <c r="L75" s="5"/>
      <c r="M75" s="6" t="n">
        <f aca="false">IF(F75&gt;0,J75/F75,"")</f>
        <v>1.50100470124355</v>
      </c>
      <c r="N75" s="6" t="n">
        <f aca="false">IF(F75&gt;0,J75/F75/(1+K75/100),"")</f>
        <v>1.36454972840323</v>
      </c>
      <c r="O75" s="4" t="str">
        <f aca="false">IF(ABS(ROUND(F75*G75+I75,2)-J75)&lt;=0.025,"OK","CHECK")</f>
        <v>OK</v>
      </c>
      <c r="P75" s="4" t="str">
        <f aca="false">IF(F75=0,"promo line",IF(ABS(H75-F75*G75)&lt;=0.011,"OK","CHECK"))</f>
        <v>OK</v>
      </c>
    </row>
    <row r="76" customFormat="false" ht="15" hidden="false" customHeight="true" outlineLevel="0" collapsed="false">
      <c r="A76" s="4" t="s">
        <v>125</v>
      </c>
      <c r="B76" s="4" t="s">
        <v>102</v>
      </c>
      <c r="C76" s="4" t="s">
        <v>126</v>
      </c>
      <c r="D76" s="4" t="s">
        <v>10</v>
      </c>
      <c r="E76" s="4" t="s">
        <v>41</v>
      </c>
      <c r="F76" s="5" t="n">
        <v>23.23</v>
      </c>
      <c r="G76" s="11" t="n">
        <v>0.995</v>
      </c>
      <c r="H76" s="5" t="n">
        <f aca="false">ROUND(F76*G76,2)</f>
        <v>23.11</v>
      </c>
      <c r="I76" s="11" t="n">
        <v>0</v>
      </c>
      <c r="J76" s="5" t="n">
        <v>23.11</v>
      </c>
      <c r="K76" s="4" t="n">
        <v>21</v>
      </c>
      <c r="L76" s="5"/>
      <c r="M76" s="6" t="n">
        <f aca="false">IF(F76&gt;0,J76/F76,"")</f>
        <v>0.994834266035299</v>
      </c>
      <c r="N76" s="6" t="n">
        <f aca="false">IF(F76&gt;0,J76/F76/(1+K76/100),"")</f>
        <v>0.822177079368016</v>
      </c>
      <c r="O76" s="4" t="str">
        <f aca="false">IF(ABS(ROUND(F76*G76+I76,2)-J76)&lt;=0.025,"OK","CHECK")</f>
        <v>OK</v>
      </c>
      <c r="P76" s="4" t="str">
        <f aca="false">IF(F76=0,"promo line",IF(ABS(H76-F76*G76)&lt;=0.011,"OK","CHECK"))</f>
        <v>OK</v>
      </c>
    </row>
    <row r="77" customFormat="false" ht="15" hidden="false" customHeight="true" outlineLevel="0" collapsed="false">
      <c r="A77" s="4" t="s">
        <v>127</v>
      </c>
      <c r="B77" s="4" t="s">
        <v>106</v>
      </c>
      <c r="C77" s="4" t="s">
        <v>128</v>
      </c>
      <c r="D77" s="4" t="s">
        <v>9</v>
      </c>
      <c r="E77" s="4" t="s">
        <v>40</v>
      </c>
      <c r="F77" s="5" t="n">
        <v>500.15</v>
      </c>
      <c r="G77" s="11" t="n">
        <v>1.754</v>
      </c>
      <c r="H77" s="5" t="n">
        <f aca="false">ROUND(F77*G77,2)</f>
        <v>877.26</v>
      </c>
      <c r="I77" s="11" t="n">
        <v>-134.04</v>
      </c>
      <c r="J77" s="5" t="n">
        <v>743.22</v>
      </c>
      <c r="K77" s="4" t="n">
        <v>10</v>
      </c>
      <c r="L77" s="5"/>
      <c r="M77" s="6" t="n">
        <f aca="false">IF(F77&gt;0,J77/F77,"")</f>
        <v>1.48599420173948</v>
      </c>
      <c r="N77" s="6" t="n">
        <f aca="false">IF(F77&gt;0,J77/F77/(1+K77/100),"")</f>
        <v>1.35090381976316</v>
      </c>
      <c r="O77" s="4" t="str">
        <f aca="false">IF(ABS(ROUND(F77*G77+I77,2)-J77)&lt;=0.025,"OK","CHECK")</f>
        <v>OK</v>
      </c>
      <c r="P77" s="4" t="str">
        <f aca="false">IF(F77=0,"promo line",IF(ABS(H77-F77*G77)&lt;=0.011,"OK","CHECK"))</f>
        <v>OK</v>
      </c>
    </row>
    <row r="78" customFormat="false" ht="15" hidden="false" customHeight="true" outlineLevel="0" collapsed="false">
      <c r="A78" s="4" t="s">
        <v>127</v>
      </c>
      <c r="B78" s="4" t="s">
        <v>106</v>
      </c>
      <c r="C78" s="4" t="s">
        <v>129</v>
      </c>
      <c r="D78" s="4" t="s">
        <v>10</v>
      </c>
      <c r="E78" s="4" t="s">
        <v>41</v>
      </c>
      <c r="F78" s="5" t="n">
        <v>63.76</v>
      </c>
      <c r="G78" s="11" t="n">
        <v>0.995</v>
      </c>
      <c r="H78" s="5" t="n">
        <f aca="false">ROUND(F78*G78,2)</f>
        <v>63.44</v>
      </c>
      <c r="I78" s="11" t="n">
        <v>-30.86</v>
      </c>
      <c r="J78" s="5" t="n">
        <v>32.58</v>
      </c>
      <c r="K78" s="4" t="n">
        <v>21</v>
      </c>
      <c r="L78" s="5"/>
      <c r="M78" s="6" t="n">
        <f aca="false">IF(F78&gt;0,J78/F78,"")</f>
        <v>0.510978670012547</v>
      </c>
      <c r="N78" s="6" t="n">
        <f aca="false">IF(F78&gt;0,J78/F78/(1+K78/100),"")</f>
        <v>0.422296421497973</v>
      </c>
      <c r="O78" s="4" t="str">
        <f aca="false">IF(ABS(ROUND(F78*G78+I78,2)-J78)&lt;=0.025,"OK","CHECK")</f>
        <v>OK</v>
      </c>
      <c r="P78" s="4" t="str">
        <f aca="false">IF(F78=0,"promo line",IF(ABS(H78-F78*G78)&lt;=0.011,"OK","CHECK"))</f>
        <v>OK</v>
      </c>
    </row>
    <row r="79" customFormat="false" ht="15" hidden="false" customHeight="true" outlineLevel="0" collapsed="false">
      <c r="A79" s="4" t="s">
        <v>127</v>
      </c>
      <c r="B79" s="4" t="s">
        <v>106</v>
      </c>
      <c r="C79" s="4" t="s">
        <v>129</v>
      </c>
      <c r="D79" s="4" t="s">
        <v>10</v>
      </c>
      <c r="E79" s="4" t="s">
        <v>40</v>
      </c>
      <c r="F79" s="5" t="n">
        <v>641.77</v>
      </c>
      <c r="G79" s="11" t="n">
        <v>1.754</v>
      </c>
      <c r="H79" s="5" t="n">
        <f aca="false">ROUND(F79*G79,2)</f>
        <v>1125.66</v>
      </c>
      <c r="I79" s="11" t="n">
        <v>-171.353</v>
      </c>
      <c r="J79" s="5" t="n">
        <v>954.32</v>
      </c>
      <c r="K79" s="4" t="n">
        <v>10</v>
      </c>
      <c r="L79" s="5"/>
      <c r="M79" s="6" t="n">
        <f aca="false">IF(F79&gt;0,J79/F79,"")</f>
        <v>1.48701248110694</v>
      </c>
      <c r="N79" s="6" t="n">
        <f aca="false">IF(F79&gt;0,J79/F79/(1+K79/100),"")</f>
        <v>1.35182952827904</v>
      </c>
      <c r="O79" s="4" t="str">
        <f aca="false">IF(ABS(ROUND(F79*G79+I79,2)-J79)&lt;=0.025,"OK","CHECK")</f>
        <v>OK</v>
      </c>
      <c r="P79" s="4" t="str">
        <f aca="false">IF(F79=0,"promo line",IF(ABS(H79-F79*G79)&lt;=0.011,"OK","CHECK"))</f>
        <v>OK</v>
      </c>
    </row>
    <row r="80" customFormat="false" ht="15" hidden="false" customHeight="true" outlineLevel="0" collapsed="false">
      <c r="A80" s="4" t="s">
        <v>130</v>
      </c>
      <c r="B80" s="4" t="s">
        <v>55</v>
      </c>
      <c r="C80" s="4" t="s">
        <v>131</v>
      </c>
      <c r="D80" s="4" t="s">
        <v>6</v>
      </c>
      <c r="E80" s="4" t="s">
        <v>57</v>
      </c>
      <c r="F80" s="5" t="n">
        <v>0</v>
      </c>
      <c r="G80" s="11" t="n">
        <v>1.934</v>
      </c>
      <c r="H80" s="5" t="n">
        <f aca="false">ROUND(F80*G80,2)</f>
        <v>0</v>
      </c>
      <c r="I80" s="11" t="n">
        <v>-40.888</v>
      </c>
      <c r="J80" s="5" t="n">
        <v>-40.89</v>
      </c>
      <c r="K80" s="4" t="n">
        <v>10</v>
      </c>
      <c r="L80" s="5"/>
      <c r="M80" s="6" t="str">
        <f aca="false">IF(F80&gt;0,J80/F80,"")</f>
        <v/>
      </c>
      <c r="N80" s="6" t="str">
        <f aca="false">IF(F80&gt;0,J80/F80/(1+K80/100),"")</f>
        <v/>
      </c>
      <c r="O80" s="4" t="str">
        <f aca="false">IF(ABS(ROUND(F80*G80+I80,2)-J80)&lt;=0.025,"OK","CHECK")</f>
        <v>OK</v>
      </c>
      <c r="P80" s="4" t="str">
        <f aca="false">IF(F80=0,"promo line",IF(ABS(H80-F80*G80)&lt;=0.011,"OK","CHECK"))</f>
        <v>promo line</v>
      </c>
    </row>
    <row r="81" customFormat="false" ht="15" hidden="false" customHeight="true" outlineLevel="0" collapsed="false">
      <c r="A81" s="4" t="s">
        <v>130</v>
      </c>
      <c r="B81" s="4" t="s">
        <v>55</v>
      </c>
      <c r="C81" s="4" t="s">
        <v>131</v>
      </c>
      <c r="D81" s="4" t="s">
        <v>6</v>
      </c>
      <c r="E81" s="4" t="s">
        <v>40</v>
      </c>
      <c r="F81" s="5" t="n">
        <v>817.76</v>
      </c>
      <c r="G81" s="11" t="n">
        <v>1.934</v>
      </c>
      <c r="H81" s="5" t="n">
        <f aca="false">ROUND(F81*G81,2)</f>
        <v>1581.55</v>
      </c>
      <c r="I81" s="11" t="n">
        <v>-235.515</v>
      </c>
      <c r="J81" s="5" t="n">
        <v>1346.04</v>
      </c>
      <c r="K81" s="4" t="n">
        <v>10</v>
      </c>
      <c r="L81" s="5"/>
      <c r="M81" s="6" t="n">
        <f aca="false">IF(F81&gt;0,J81/F81,"")</f>
        <v>1.6460086088828</v>
      </c>
      <c r="N81" s="6" t="n">
        <f aca="false">IF(F81&gt;0,J81/F81/(1+K81/100),"")</f>
        <v>1.49637146262073</v>
      </c>
      <c r="O81" s="4" t="str">
        <f aca="false">IF(ABS(ROUND(F81*G81+I81,2)-J81)&lt;=0.025,"OK","CHECK")</f>
        <v>OK</v>
      </c>
      <c r="P81" s="4" t="str">
        <f aca="false">IF(F81=0,"promo line",IF(ABS(H81-F81*G81)&lt;=0.011,"OK","CHECK"))</f>
        <v>OK</v>
      </c>
    </row>
    <row r="82" customFormat="false" ht="15" hidden="false" customHeight="true" outlineLevel="0" collapsed="false">
      <c r="A82" s="4" t="s">
        <v>130</v>
      </c>
      <c r="B82" s="4" t="s">
        <v>55</v>
      </c>
      <c r="C82" s="4" t="s">
        <v>131</v>
      </c>
      <c r="D82" s="4" t="s">
        <v>6</v>
      </c>
      <c r="E82" s="4" t="s">
        <v>57</v>
      </c>
      <c r="F82" s="5" t="n">
        <v>0</v>
      </c>
      <c r="G82" s="11" t="n">
        <v>0.899</v>
      </c>
      <c r="H82" s="5" t="n">
        <f aca="false">ROUND(F82*G82,2)</f>
        <v>0</v>
      </c>
      <c r="I82" s="11" t="n">
        <v>-2.99</v>
      </c>
      <c r="J82" s="5" t="n">
        <v>-2.99</v>
      </c>
      <c r="K82" s="4" t="n">
        <v>21</v>
      </c>
      <c r="L82" s="5"/>
      <c r="M82" s="6" t="str">
        <f aca="false">IF(F82&gt;0,J82/F82,"")</f>
        <v/>
      </c>
      <c r="N82" s="6" t="str">
        <f aca="false">IF(F82&gt;0,J82/F82/(1+K82/100),"")</f>
        <v/>
      </c>
      <c r="O82" s="4" t="str">
        <f aca="false">IF(ABS(ROUND(F82*G82+I82,2)-J82)&lt;=0.025,"OK","CHECK")</f>
        <v>OK</v>
      </c>
      <c r="P82" s="4" t="str">
        <f aca="false">IF(F82=0,"promo line",IF(ABS(H82-F82*G82)&lt;=0.011,"OK","CHECK"))</f>
        <v>promo line</v>
      </c>
    </row>
    <row r="83" customFormat="false" ht="15" hidden="false" customHeight="true" outlineLevel="0" collapsed="false">
      <c r="A83" s="4" t="s">
        <v>130</v>
      </c>
      <c r="B83" s="4" t="s">
        <v>55</v>
      </c>
      <c r="C83" s="4" t="s">
        <v>131</v>
      </c>
      <c r="D83" s="4" t="s">
        <v>6</v>
      </c>
      <c r="E83" s="4" t="s">
        <v>41</v>
      </c>
      <c r="F83" s="5" t="n">
        <v>59.79</v>
      </c>
      <c r="G83" s="11" t="n">
        <v>0.899</v>
      </c>
      <c r="H83" s="5" t="n">
        <f aca="false">ROUND(F83*G83,2)</f>
        <v>53.75</v>
      </c>
      <c r="I83" s="11" t="n">
        <v>-26.846</v>
      </c>
      <c r="J83" s="5" t="n">
        <v>26.9</v>
      </c>
      <c r="K83" s="4" t="n">
        <v>21</v>
      </c>
      <c r="L83" s="5"/>
      <c r="M83" s="6" t="n">
        <f aca="false">IF(F83&gt;0,J83/F83,"")</f>
        <v>0.449908011373139</v>
      </c>
      <c r="N83" s="6" t="n">
        <f aca="false">IF(F83&gt;0,J83/F83/(1+K83/100),"")</f>
        <v>0.371824802787718</v>
      </c>
      <c r="O83" s="4" t="str">
        <f aca="false">IF(ABS(ROUND(F83*G83+I83,2)-J83)&lt;=0.025,"OK","CHECK")</f>
        <v>OK</v>
      </c>
      <c r="P83" s="4" t="str">
        <f aca="false">IF(F83=0,"promo line",IF(ABS(H83-F83*G83)&lt;=0.011,"OK","CHECK"))</f>
        <v>OK</v>
      </c>
    </row>
    <row r="84" customFormat="false" ht="15" hidden="false" customHeight="true" outlineLevel="0" collapsed="false">
      <c r="A84" s="4" t="s">
        <v>130</v>
      </c>
      <c r="B84" s="4" t="s">
        <v>106</v>
      </c>
      <c r="C84" s="4" t="s">
        <v>132</v>
      </c>
      <c r="D84" s="4" t="s">
        <v>6</v>
      </c>
      <c r="E84" s="4" t="s">
        <v>41</v>
      </c>
      <c r="F84" s="5" t="n">
        <v>31.97</v>
      </c>
      <c r="G84" s="11" t="n">
        <v>0.995</v>
      </c>
      <c r="H84" s="5" t="n">
        <f aca="false">ROUND(F84*G84,2)</f>
        <v>31.81</v>
      </c>
      <c r="I84" s="11" t="n">
        <v>-15.473</v>
      </c>
      <c r="J84" s="5" t="n">
        <v>16.34</v>
      </c>
      <c r="K84" s="4" t="n">
        <v>21</v>
      </c>
      <c r="L84" s="5"/>
      <c r="M84" s="6" t="n">
        <f aca="false">IF(F84&gt;0,J84/F84,"")</f>
        <v>0.511104160150141</v>
      </c>
      <c r="N84" s="6" t="n">
        <f aca="false">IF(F84&gt;0,J84/F84/(1+K84/100),"")</f>
        <v>0.422400132355488</v>
      </c>
      <c r="O84" s="4" t="str">
        <f aca="false">IF(ABS(ROUND(F84*G84+I84,2)-J84)&lt;=0.025,"OK","CHECK")</f>
        <v>OK</v>
      </c>
      <c r="P84" s="4" t="str">
        <f aca="false">IF(F84=0,"promo line",IF(ABS(H84-F84*G84)&lt;=0.011,"OK","CHECK"))</f>
        <v>OK</v>
      </c>
    </row>
    <row r="85" customFormat="false" ht="15" hidden="false" customHeight="true" outlineLevel="0" collapsed="false">
      <c r="A85" s="4" t="s">
        <v>130</v>
      </c>
      <c r="B85" s="4" t="s">
        <v>106</v>
      </c>
      <c r="C85" s="4" t="s">
        <v>132</v>
      </c>
      <c r="D85" s="4" t="s">
        <v>6</v>
      </c>
      <c r="E85" s="4" t="s">
        <v>40</v>
      </c>
      <c r="F85" s="5" t="n">
        <v>305.44</v>
      </c>
      <c r="G85" s="11" t="n">
        <v>1.754</v>
      </c>
      <c r="H85" s="5" t="n">
        <f aca="false">ROUND(F85*G85,2)</f>
        <v>535.74</v>
      </c>
      <c r="I85" s="11" t="n">
        <v>-80.025</v>
      </c>
      <c r="J85" s="5" t="n">
        <v>455.71</v>
      </c>
      <c r="K85" s="4" t="n">
        <v>10</v>
      </c>
      <c r="L85" s="5"/>
      <c r="M85" s="6" t="n">
        <f aca="false">IF(F85&gt;0,J85/F85,"")</f>
        <v>1.49197878470403</v>
      </c>
      <c r="N85" s="6" t="n">
        <f aca="false">IF(F85&gt;0,J85/F85/(1+K85/100),"")</f>
        <v>1.35634434973094</v>
      </c>
      <c r="O85" s="4" t="str">
        <f aca="false">IF(ABS(ROUND(F85*G85+I85,2)-J85)&lt;=0.025,"OK","CHECK")</f>
        <v>OK</v>
      </c>
      <c r="P85" s="4" t="str">
        <f aca="false">IF(F85=0,"promo line",IF(ABS(H85-F85*G85)&lt;=0.011,"OK","CHECK"))</f>
        <v>OK</v>
      </c>
    </row>
    <row r="86" customFormat="false" ht="15" hidden="false" customHeight="true" outlineLevel="0" collapsed="false">
      <c r="A86" s="4" t="s">
        <v>130</v>
      </c>
      <c r="B86" s="4" t="s">
        <v>106</v>
      </c>
      <c r="C86" s="4" t="s">
        <v>133</v>
      </c>
      <c r="D86" s="4" t="s">
        <v>6</v>
      </c>
      <c r="E86" s="4" t="s">
        <v>40</v>
      </c>
      <c r="F86" s="5" t="n">
        <v>161.04</v>
      </c>
      <c r="G86" s="11" t="n">
        <v>1.754</v>
      </c>
      <c r="H86" s="5" t="n">
        <f aca="false">ROUND(F86*G86,2)</f>
        <v>282.46</v>
      </c>
      <c r="I86" s="11" t="n">
        <v>-42.192</v>
      </c>
      <c r="J86" s="5" t="n">
        <v>240.27</v>
      </c>
      <c r="K86" s="4" t="n">
        <v>10</v>
      </c>
      <c r="L86" s="5"/>
      <c r="M86" s="6" t="n">
        <f aca="false">IF(F86&gt;0,J86/F86,"")</f>
        <v>1.49198956780924</v>
      </c>
      <c r="N86" s="6" t="n">
        <f aca="false">IF(F86&gt;0,J86/F86/(1+K86/100),"")</f>
        <v>1.35635415255385</v>
      </c>
      <c r="O86" s="4" t="str">
        <f aca="false">IF(ABS(ROUND(F86*G86+I86,2)-J86)&lt;=0.025,"OK","CHECK")</f>
        <v>OK</v>
      </c>
      <c r="P86" s="4" t="str">
        <f aca="false">IF(F86=0,"promo line",IF(ABS(H86-F86*G86)&lt;=0.011,"OK","CHECK"))</f>
        <v>OK</v>
      </c>
    </row>
    <row r="87" customFormat="false" ht="15" hidden="false" customHeight="true" outlineLevel="0" collapsed="false">
      <c r="A87" s="4" t="s">
        <v>134</v>
      </c>
      <c r="B87" s="4" t="s">
        <v>68</v>
      </c>
      <c r="C87" s="4" t="s">
        <v>135</v>
      </c>
      <c r="D87" s="4" t="s">
        <v>13</v>
      </c>
      <c r="E87" s="4" t="s">
        <v>41</v>
      </c>
      <c r="F87" s="5" t="n">
        <v>30.58</v>
      </c>
      <c r="G87" s="11" t="n">
        <v>0.995</v>
      </c>
      <c r="H87" s="5" t="n">
        <f aca="false">ROUND(F87*G87,2)</f>
        <v>30.43</v>
      </c>
      <c r="I87" s="11" t="n">
        <v>-14.984</v>
      </c>
      <c r="J87" s="5" t="n">
        <v>15.45</v>
      </c>
      <c r="K87" s="4" t="n">
        <v>21</v>
      </c>
      <c r="L87" s="5"/>
      <c r="M87" s="6" t="n">
        <f aca="false">IF(F87&gt;0,J87/F87,"")</f>
        <v>0.505232177894048</v>
      </c>
      <c r="N87" s="6" t="n">
        <f aca="false">IF(F87&gt;0,J87/F87/(1+K87/100),"")</f>
        <v>0.417547254457891</v>
      </c>
      <c r="O87" s="4" t="str">
        <f aca="false">IF(ABS(ROUND(F87*G87+I87,2)-J87)&lt;=0.025,"OK","CHECK")</f>
        <v>OK</v>
      </c>
      <c r="P87" s="4" t="str">
        <f aca="false">IF(F87=0,"promo line",IF(ABS(H87-F87*G87)&lt;=0.011,"OK","CHECK"))</f>
        <v>OK</v>
      </c>
    </row>
    <row r="88" customFormat="false" ht="15" hidden="false" customHeight="true" outlineLevel="0" collapsed="false">
      <c r="A88" s="4" t="s">
        <v>134</v>
      </c>
      <c r="B88" s="4" t="s">
        <v>68</v>
      </c>
      <c r="C88" s="4" t="s">
        <v>135</v>
      </c>
      <c r="D88" s="4" t="s">
        <v>13</v>
      </c>
      <c r="E88" s="4" t="s">
        <v>136</v>
      </c>
      <c r="F88" s="5" t="n">
        <v>742.62</v>
      </c>
      <c r="G88" s="11" t="n">
        <v>1.729</v>
      </c>
      <c r="H88" s="5" t="n">
        <f aca="false">ROUND(F88*G88,2)</f>
        <v>1283.99</v>
      </c>
      <c r="I88" s="11" t="n">
        <v>-202.735</v>
      </c>
      <c r="J88" s="5" t="n">
        <v>1081.25</v>
      </c>
      <c r="K88" s="4" t="n">
        <v>10</v>
      </c>
      <c r="L88" s="5"/>
      <c r="M88" s="6" t="n">
        <f aca="false">IF(F88&gt;0,J88/F88,"")</f>
        <v>1.45599364412486</v>
      </c>
      <c r="N88" s="6" t="n">
        <f aca="false">IF(F88&gt;0,J88/F88/(1+K88/100),"")</f>
        <v>1.32363058556805</v>
      </c>
      <c r="O88" s="4" t="str">
        <f aca="false">IF(ABS(ROUND(F88*G88+I88,2)-J88)&lt;=0.025,"OK","CHECK")</f>
        <v>OK</v>
      </c>
      <c r="P88" s="4" t="str">
        <f aca="false">IF(F88=0,"promo line",IF(ABS(H88-F88*G88)&lt;=0.011,"OK","CHECK"))</f>
        <v>OK</v>
      </c>
    </row>
    <row r="89" customFormat="false" ht="15" hidden="false" customHeight="true" outlineLevel="0" collapsed="false">
      <c r="A89" s="4" t="s">
        <v>134</v>
      </c>
      <c r="B89" s="4" t="s">
        <v>70</v>
      </c>
      <c r="C89" s="4" t="s">
        <v>137</v>
      </c>
      <c r="D89" s="4" t="s">
        <v>12</v>
      </c>
      <c r="E89" s="4" t="s">
        <v>40</v>
      </c>
      <c r="F89" s="5" t="n">
        <v>534.12</v>
      </c>
      <c r="G89" s="11" t="n">
        <v>1.685</v>
      </c>
      <c r="H89" s="5" t="n">
        <f aca="false">ROUND(F89*G89,2)</f>
        <v>899.99</v>
      </c>
      <c r="I89" s="11" t="n">
        <v>-177.862</v>
      </c>
      <c r="J89" s="5" t="n">
        <v>722.14</v>
      </c>
      <c r="K89" s="4" t="n">
        <v>10</v>
      </c>
      <c r="L89" s="5"/>
      <c r="M89" s="6" t="n">
        <f aca="false">IF(F89&gt;0,J89/F89,"")</f>
        <v>1.35201827304726</v>
      </c>
      <c r="N89" s="6" t="n">
        <f aca="false">IF(F89&gt;0,J89/F89/(1+K89/100),"")</f>
        <v>1.22910752095205</v>
      </c>
      <c r="O89" s="4" t="str">
        <f aca="false">IF(ABS(ROUND(F89*G89+I89,2)-J89)&lt;=0.025,"OK","CHECK")</f>
        <v>OK</v>
      </c>
      <c r="P89" s="4" t="str">
        <f aca="false">IF(F89=0,"promo line",IF(ABS(H89-F89*G89)&lt;=0.011,"OK","CHECK"))</f>
        <v>OK</v>
      </c>
    </row>
    <row r="90" customFormat="false" ht="15" hidden="false" customHeight="true" outlineLevel="0" collapsed="false">
      <c r="A90" s="4" t="s">
        <v>134</v>
      </c>
      <c r="B90" s="4" t="s">
        <v>70</v>
      </c>
      <c r="C90" s="4" t="s">
        <v>137</v>
      </c>
      <c r="D90" s="4" t="s">
        <v>12</v>
      </c>
      <c r="E90" s="4" t="s">
        <v>41</v>
      </c>
      <c r="F90" s="5" t="n">
        <v>30.15</v>
      </c>
      <c r="G90" s="11" t="n">
        <v>0.995</v>
      </c>
      <c r="H90" s="5" t="n">
        <f aca="false">ROUND(F90*G90,2)</f>
        <v>30</v>
      </c>
      <c r="I90" s="11" t="n">
        <v>-11.517</v>
      </c>
      <c r="J90" s="5" t="n">
        <v>18.48</v>
      </c>
      <c r="K90" s="4" t="n">
        <v>21</v>
      </c>
      <c r="L90" s="5"/>
      <c r="M90" s="6" t="n">
        <f aca="false">IF(F90&gt;0,J90/F90,"")</f>
        <v>0.612935323383085</v>
      </c>
      <c r="N90" s="6" t="n">
        <f aca="false">IF(F90&gt;0,J90/F90/(1+K90/100),"")</f>
        <v>0.506558118498417</v>
      </c>
      <c r="O90" s="4" t="str">
        <f aca="false">IF(ABS(ROUND(F90*G90+I90,2)-J90)&lt;=0.025,"OK","CHECK")</f>
        <v>OK</v>
      </c>
      <c r="P90" s="4" t="str">
        <f aca="false">IF(F90=0,"promo line",IF(ABS(H90-F90*G90)&lt;=0.011,"OK","CHECK"))</f>
        <v>OK</v>
      </c>
    </row>
    <row r="91" customFormat="false" ht="15" hidden="false" customHeight="true" outlineLevel="0" collapsed="false">
      <c r="A91" s="4" t="s">
        <v>138</v>
      </c>
      <c r="B91" s="4" t="s">
        <v>102</v>
      </c>
      <c r="C91" s="4" t="s">
        <v>139</v>
      </c>
      <c r="D91" s="4" t="s">
        <v>6</v>
      </c>
      <c r="E91" s="4" t="s">
        <v>41</v>
      </c>
      <c r="F91" s="5" t="n">
        <v>44.46</v>
      </c>
      <c r="G91" s="11" t="n">
        <v>0.995</v>
      </c>
      <c r="H91" s="5" t="n">
        <f aca="false">ROUND(F91*G91,2)</f>
        <v>44.24</v>
      </c>
      <c r="I91" s="11" t="n">
        <v>0</v>
      </c>
      <c r="J91" s="5" t="n">
        <v>44.24</v>
      </c>
      <c r="K91" s="4" t="n">
        <v>21</v>
      </c>
      <c r="L91" s="5"/>
      <c r="M91" s="6" t="n">
        <f aca="false">IF(F91&gt;0,J91/F91,"")</f>
        <v>0.995051731893837</v>
      </c>
      <c r="N91" s="6" t="n">
        <f aca="false">IF(F91&gt;0,J91/F91/(1+K91/100),"")</f>
        <v>0.822356803218047</v>
      </c>
      <c r="O91" s="4" t="str">
        <f aca="false">IF(ABS(ROUND(F91*G91+I91,2)-J91)&lt;=0.025,"OK","CHECK")</f>
        <v>OK</v>
      </c>
      <c r="P91" s="4" t="str">
        <f aca="false">IF(F91=0,"promo line",IF(ABS(H91-F91*G91)&lt;=0.011,"OK","CHECK"))</f>
        <v>OK</v>
      </c>
    </row>
    <row r="92" customFormat="false" ht="15" hidden="false" customHeight="true" outlineLevel="0" collapsed="false">
      <c r="A92" s="4" t="s">
        <v>138</v>
      </c>
      <c r="B92" s="4" t="s">
        <v>102</v>
      </c>
      <c r="C92" s="4" t="s">
        <v>139</v>
      </c>
      <c r="D92" s="4" t="s">
        <v>6</v>
      </c>
      <c r="E92" s="4" t="s">
        <v>40</v>
      </c>
      <c r="F92" s="5" t="n">
        <v>733.26</v>
      </c>
      <c r="G92" s="11" t="n">
        <v>1.749</v>
      </c>
      <c r="H92" s="5" t="n">
        <f aca="false">ROUND(F92*G92,2)</f>
        <v>1282.47</v>
      </c>
      <c r="I92" s="11" t="n">
        <v>-184.048</v>
      </c>
      <c r="J92" s="5" t="n">
        <v>1098.42</v>
      </c>
      <c r="K92" s="4" t="n">
        <v>10</v>
      </c>
      <c r="L92" s="5"/>
      <c r="M92" s="6" t="n">
        <f aca="false">IF(F92&gt;0,J92/F92,"")</f>
        <v>1.49799525407086</v>
      </c>
      <c r="N92" s="6" t="n">
        <f aca="false">IF(F92&gt;0,J92/F92/(1+K92/100),"")</f>
        <v>1.36181386733715</v>
      </c>
      <c r="O92" s="4" t="str">
        <f aca="false">IF(ABS(ROUND(F92*G92+I92,2)-J92)&lt;=0.025,"OK","CHECK")</f>
        <v>OK</v>
      </c>
      <c r="P92" s="4" t="str">
        <f aca="false">IF(F92=0,"promo line",IF(ABS(H92-F92*G92)&lt;=0.011,"OK","CHECK"))</f>
        <v>OK</v>
      </c>
    </row>
    <row r="93" customFormat="false" ht="15" hidden="false" customHeight="true" outlineLevel="0" collapsed="false">
      <c r="A93" s="4" t="s">
        <v>140</v>
      </c>
      <c r="B93" s="4" t="s">
        <v>64</v>
      </c>
      <c r="C93" s="4" t="s">
        <v>141</v>
      </c>
      <c r="D93" s="4" t="s">
        <v>7</v>
      </c>
      <c r="E93" s="4" t="s">
        <v>41</v>
      </c>
      <c r="F93" s="5" t="n">
        <v>35.05</v>
      </c>
      <c r="G93" s="11" t="n">
        <v>0.995</v>
      </c>
      <c r="H93" s="5" t="n">
        <f aca="false">ROUND(F93*G93,2)</f>
        <v>34.87</v>
      </c>
      <c r="I93" s="11" t="n">
        <v>-16.964</v>
      </c>
      <c r="J93" s="5" t="n">
        <v>17.91</v>
      </c>
      <c r="K93" s="4" t="n">
        <v>21</v>
      </c>
      <c r="L93" s="5"/>
      <c r="M93" s="6" t="n">
        <f aca="false">IF(F93&gt;0,J93/F93,"")</f>
        <v>0.510984308131241</v>
      </c>
      <c r="N93" s="6" t="n">
        <f aca="false">IF(F93&gt;0,J93/F93/(1+K93/100),"")</f>
        <v>0.422301081100199</v>
      </c>
      <c r="O93" s="4" t="str">
        <f aca="false">IF(ABS(ROUND(F93*G93+I93,2)-J93)&lt;=0.025,"OK","CHECK")</f>
        <v>OK</v>
      </c>
      <c r="P93" s="4" t="str">
        <f aca="false">IF(F93=0,"promo line",IF(ABS(H93-F93*G93)&lt;=0.011,"OK","CHECK"))</f>
        <v>OK</v>
      </c>
    </row>
    <row r="94" customFormat="false" ht="15" hidden="false" customHeight="true" outlineLevel="0" collapsed="false">
      <c r="A94" s="4" t="s">
        <v>142</v>
      </c>
      <c r="B94" s="4" t="s">
        <v>43</v>
      </c>
      <c r="C94" s="4" t="s">
        <v>143</v>
      </c>
      <c r="D94" s="4" t="s">
        <v>9</v>
      </c>
      <c r="E94" s="4" t="s">
        <v>40</v>
      </c>
      <c r="F94" s="5" t="n">
        <v>369.43</v>
      </c>
      <c r="G94" s="11" t="n">
        <v>1.738</v>
      </c>
      <c r="H94" s="5" t="n">
        <f aca="false">ROUND(F94*G94,2)</f>
        <v>642.07</v>
      </c>
      <c r="I94" s="11" t="n">
        <v>-120.065</v>
      </c>
      <c r="J94" s="5" t="n">
        <v>522.01</v>
      </c>
      <c r="K94" s="4" t="n">
        <v>10</v>
      </c>
      <c r="L94" s="5"/>
      <c r="M94" s="6" t="n">
        <f aca="false">IF(F94&gt;0,J94/F94,"")</f>
        <v>1.41301464418158</v>
      </c>
      <c r="N94" s="6" t="n">
        <f aca="false">IF(F94&gt;0,J94/F94/(1+K94/100),"")</f>
        <v>1.2845587674378</v>
      </c>
      <c r="O94" s="4" t="str">
        <f aca="false">IF(ABS(ROUND(F94*G94+I94,2)-J94)&lt;=0.025,"OK","CHECK")</f>
        <v>OK</v>
      </c>
      <c r="P94" s="4" t="str">
        <f aca="false">IF(F94=0,"promo line",IF(ABS(H94-F94*G94)&lt;=0.011,"OK","CHECK"))</f>
        <v>OK</v>
      </c>
    </row>
    <row r="95" customFormat="false" ht="15" hidden="false" customHeight="true" outlineLevel="0" collapsed="false">
      <c r="A95" s="4" t="s">
        <v>144</v>
      </c>
      <c r="B95" s="4" t="s">
        <v>64</v>
      </c>
      <c r="C95" s="4" t="s">
        <v>145</v>
      </c>
      <c r="D95" s="4" t="s">
        <v>7</v>
      </c>
      <c r="E95" s="4" t="s">
        <v>40</v>
      </c>
      <c r="F95" s="5" t="n">
        <v>873.11</v>
      </c>
      <c r="G95" s="11" t="n">
        <v>1.754</v>
      </c>
      <c r="H95" s="5" t="n">
        <f aca="false">ROUND(F95*G95,2)</f>
        <v>1531.43</v>
      </c>
      <c r="I95" s="11" t="n">
        <v>-207.8</v>
      </c>
      <c r="J95" s="5" t="n">
        <v>1323.64</v>
      </c>
      <c r="K95" s="4" t="n">
        <v>10</v>
      </c>
      <c r="L95" s="5"/>
      <c r="M95" s="6" t="n">
        <f aca="false">IF(F95&gt;0,J95/F95,"")</f>
        <v>1.51600600153474</v>
      </c>
      <c r="N95" s="6" t="n">
        <f aca="false">IF(F95&gt;0,J95/F95/(1+K95/100),"")</f>
        <v>1.37818727412249</v>
      </c>
      <c r="O95" s="4" t="str">
        <f aca="false">IF(ABS(ROUND(F95*G95+I95,2)-J95)&lt;=0.025,"OK","CHECK")</f>
        <v>OK</v>
      </c>
      <c r="P95" s="4" t="str">
        <f aca="false">IF(F95=0,"promo line",IF(ABS(H95-F95*G95)&lt;=0.011,"OK","CHECK"))</f>
        <v>OK</v>
      </c>
    </row>
    <row r="96" customFormat="false" ht="15" hidden="false" customHeight="true" outlineLevel="0" collapsed="false">
      <c r="A96" s="4" t="s">
        <v>144</v>
      </c>
      <c r="B96" s="4" t="s">
        <v>64</v>
      </c>
      <c r="C96" s="4" t="s">
        <v>145</v>
      </c>
      <c r="D96" s="4" t="s">
        <v>7</v>
      </c>
      <c r="E96" s="4" t="s">
        <v>41</v>
      </c>
      <c r="F96" s="5" t="n">
        <v>23.56</v>
      </c>
      <c r="G96" s="11" t="n">
        <v>0.995</v>
      </c>
      <c r="H96" s="5" t="n">
        <f aca="false">ROUND(F96*G96,2)</f>
        <v>23.44</v>
      </c>
      <c r="I96" s="11" t="n">
        <v>-11.403</v>
      </c>
      <c r="J96" s="5" t="n">
        <v>12.04</v>
      </c>
      <c r="K96" s="4" t="n">
        <v>21</v>
      </c>
      <c r="L96" s="5"/>
      <c r="M96" s="6" t="n">
        <f aca="false">IF(F96&gt;0,J96/F96,"")</f>
        <v>0.511035653650255</v>
      </c>
      <c r="N96" s="6" t="n">
        <f aca="false">IF(F96&gt;0,J96/F96/(1+K96/100),"")</f>
        <v>0.422343515413434</v>
      </c>
      <c r="O96" s="4" t="str">
        <f aca="false">IF(ABS(ROUND(F96*G96+I96,2)-J96)&lt;=0.025,"OK","CHECK")</f>
        <v>OK</v>
      </c>
      <c r="P96" s="4" t="str">
        <f aca="false">IF(F96=0,"promo line",IF(ABS(H96-F96*G96)&lt;=0.011,"OK","CHECK"))</f>
        <v>OK</v>
      </c>
    </row>
    <row r="97" customFormat="false" ht="15" hidden="false" customHeight="true" outlineLevel="0" collapsed="false">
      <c r="A97" s="4" t="s">
        <v>144</v>
      </c>
      <c r="B97" s="4" t="s">
        <v>110</v>
      </c>
      <c r="C97" s="4" t="s">
        <v>146</v>
      </c>
      <c r="D97" s="4" t="s">
        <v>6</v>
      </c>
      <c r="E97" s="4" t="s">
        <v>41</v>
      </c>
      <c r="F97" s="5" t="n">
        <v>32.2</v>
      </c>
      <c r="G97" s="11" t="n">
        <v>0.995</v>
      </c>
      <c r="H97" s="5" t="n">
        <f aca="false">ROUND(F97*G97,2)</f>
        <v>32.04</v>
      </c>
      <c r="I97" s="11" t="n">
        <v>-15.585</v>
      </c>
      <c r="J97" s="5" t="n">
        <v>16.46</v>
      </c>
      <c r="K97" s="4" t="n">
        <v>21</v>
      </c>
      <c r="L97" s="5"/>
      <c r="M97" s="6" t="n">
        <f aca="false">IF(F97&gt;0,J97/F97,"")</f>
        <v>0.511180124223603</v>
      </c>
      <c r="N97" s="6" t="n">
        <f aca="false">IF(F97&gt;0,J97/F97/(1+K97/100),"")</f>
        <v>0.42246291258149</v>
      </c>
      <c r="O97" s="4" t="str">
        <f aca="false">IF(ABS(ROUND(F97*G97+I97,2)-J97)&lt;=0.025,"OK","CHECK")</f>
        <v>OK</v>
      </c>
      <c r="P97" s="4" t="str">
        <f aca="false">IF(F97=0,"promo line",IF(ABS(H97-F97*G97)&lt;=0.011,"OK","CHECK"))</f>
        <v>OK</v>
      </c>
    </row>
    <row r="98" customFormat="false" ht="15" hidden="false" customHeight="true" outlineLevel="0" collapsed="false">
      <c r="A98" s="4" t="s">
        <v>144</v>
      </c>
      <c r="B98" s="4" t="s">
        <v>110</v>
      </c>
      <c r="C98" s="4" t="s">
        <v>146</v>
      </c>
      <c r="D98" s="4" t="s">
        <v>6</v>
      </c>
      <c r="E98" s="4" t="s">
        <v>40</v>
      </c>
      <c r="F98" s="5" t="n">
        <v>589.55</v>
      </c>
      <c r="G98" s="11" t="n">
        <v>1.754</v>
      </c>
      <c r="H98" s="5" t="n">
        <f aca="false">ROUND(F98*G98,2)</f>
        <v>1034.07</v>
      </c>
      <c r="I98" s="11" t="n">
        <v>-176.275</v>
      </c>
      <c r="J98" s="5" t="n">
        <v>857.79</v>
      </c>
      <c r="K98" s="4" t="n">
        <v>10</v>
      </c>
      <c r="L98" s="5"/>
      <c r="M98" s="6" t="n">
        <f aca="false">IF(F98&gt;0,J98/F98,"")</f>
        <v>1.45499109490289</v>
      </c>
      <c r="N98" s="6" t="n">
        <f aca="false">IF(F98&gt;0,J98/F98/(1+K98/100),"")</f>
        <v>1.32271917718445</v>
      </c>
      <c r="O98" s="4" t="str">
        <f aca="false">IF(ABS(ROUND(F98*G98+I98,2)-J98)&lt;=0.025,"OK","CHECK")</f>
        <v>OK</v>
      </c>
      <c r="P98" s="4" t="str">
        <f aca="false">IF(F98=0,"promo line",IF(ABS(H98-F98*G98)&lt;=0.011,"OK","CHECK"))</f>
        <v>OK</v>
      </c>
    </row>
    <row r="99" customFormat="false" ht="15" hidden="false" customHeight="true" outlineLevel="0" collapsed="false">
      <c r="A99" s="4" t="s">
        <v>147</v>
      </c>
      <c r="B99" s="4" t="s">
        <v>46</v>
      </c>
      <c r="C99" s="4" t="s">
        <v>148</v>
      </c>
      <c r="D99" s="4" t="s">
        <v>6</v>
      </c>
      <c r="E99" s="4" t="s">
        <v>41</v>
      </c>
      <c r="F99" s="5" t="n">
        <v>33.66</v>
      </c>
      <c r="G99" s="11" t="n">
        <v>0.995</v>
      </c>
      <c r="H99" s="5" t="n">
        <f aca="false">ROUND(F99*G99,2)</f>
        <v>33.49</v>
      </c>
      <c r="I99" s="11" t="n">
        <v>-16.291</v>
      </c>
      <c r="J99" s="5" t="n">
        <v>17.2</v>
      </c>
      <c r="K99" s="4" t="n">
        <v>21</v>
      </c>
      <c r="L99" s="5"/>
      <c r="M99" s="6" t="n">
        <f aca="false">IF(F99&gt;0,J99/F99,"")</f>
        <v>0.510992275698158</v>
      </c>
      <c r="N99" s="6" t="n">
        <f aca="false">IF(F99&gt;0,J99/F99/(1+K99/100),"")</f>
        <v>0.422307665866246</v>
      </c>
      <c r="O99" s="4" t="str">
        <f aca="false">IF(ABS(ROUND(F99*G99+I99,2)-J99)&lt;=0.025,"OK","CHECK")</f>
        <v>OK</v>
      </c>
      <c r="P99" s="4" t="str">
        <f aca="false">IF(F99=0,"promo line",IF(ABS(H99-F99*G99)&lt;=0.011,"OK","CHECK"))</f>
        <v>OK</v>
      </c>
    </row>
    <row r="100" customFormat="false" ht="15" hidden="false" customHeight="true" outlineLevel="0" collapsed="false">
      <c r="A100" s="4" t="s">
        <v>147</v>
      </c>
      <c r="B100" s="4" t="s">
        <v>46</v>
      </c>
      <c r="C100" s="4" t="s">
        <v>148</v>
      </c>
      <c r="D100" s="4" t="s">
        <v>6</v>
      </c>
      <c r="E100" s="4" t="s">
        <v>40</v>
      </c>
      <c r="F100" s="5" t="n">
        <v>808.12</v>
      </c>
      <c r="G100" s="11" t="n">
        <v>1.742</v>
      </c>
      <c r="H100" s="5" t="n">
        <f aca="false">ROUND(F100*G100,2)</f>
        <v>1407.75</v>
      </c>
      <c r="I100" s="11" t="n">
        <v>-254.558</v>
      </c>
      <c r="J100" s="5" t="n">
        <v>1153.18</v>
      </c>
      <c r="K100" s="4" t="n">
        <v>10</v>
      </c>
      <c r="L100" s="5"/>
      <c r="M100" s="6" t="n">
        <f aca="false">IF(F100&gt;0,J100/F100,"")</f>
        <v>1.42699104093451</v>
      </c>
      <c r="N100" s="6" t="n">
        <f aca="false">IF(F100&gt;0,J100/F100/(1+K100/100),"")</f>
        <v>1.29726458266774</v>
      </c>
      <c r="O100" s="4" t="str">
        <f aca="false">IF(ABS(ROUND(F100*G100+I100,2)-J100)&lt;=0.025,"OK","CHECK")</f>
        <v>OK</v>
      </c>
      <c r="P100" s="4" t="str">
        <f aca="false">IF(F100=0,"promo line",IF(ABS(H100-F100*G100)&lt;=0.011,"OK","CHECK"))</f>
        <v>OK</v>
      </c>
    </row>
    <row r="101" customFormat="false" ht="15" hidden="false" customHeight="true" outlineLevel="0" collapsed="false">
      <c r="A101" s="4" t="s">
        <v>149</v>
      </c>
      <c r="B101" s="4" t="s">
        <v>68</v>
      </c>
      <c r="C101" s="4" t="s">
        <v>150</v>
      </c>
      <c r="D101" s="4" t="s">
        <v>9</v>
      </c>
      <c r="E101" s="4" t="s">
        <v>41</v>
      </c>
      <c r="F101" s="5" t="n">
        <v>38.56</v>
      </c>
      <c r="G101" s="11" t="n">
        <v>0.995</v>
      </c>
      <c r="H101" s="5" t="n">
        <f aca="false">ROUND(F101*G101,2)</f>
        <v>38.37</v>
      </c>
      <c r="I101" s="11" t="n">
        <v>-18.663</v>
      </c>
      <c r="J101" s="5" t="n">
        <v>19.71</v>
      </c>
      <c r="K101" s="4" t="n">
        <v>21</v>
      </c>
      <c r="L101" s="5"/>
      <c r="M101" s="6" t="n">
        <f aca="false">IF(F101&gt;0,J101/F101,"")</f>
        <v>0.511151452282158</v>
      </c>
      <c r="N101" s="6" t="n">
        <f aca="false">IF(F101&gt;0,J101/F101/(1+K101/100),"")</f>
        <v>0.422439216762114</v>
      </c>
      <c r="O101" s="4" t="str">
        <f aca="false">IF(ABS(ROUND(F101*G101+I101,2)-J101)&lt;=0.025,"OK","CHECK")</f>
        <v>OK</v>
      </c>
      <c r="P101" s="4" t="str">
        <f aca="false">IF(F101=0,"promo line",IF(ABS(H101-F101*G101)&lt;=0.011,"OK","CHECK"))</f>
        <v>OK</v>
      </c>
    </row>
    <row r="102" customFormat="false" ht="15" hidden="false" customHeight="true" outlineLevel="0" collapsed="false">
      <c r="A102" s="4" t="s">
        <v>149</v>
      </c>
      <c r="B102" s="4" t="s">
        <v>68</v>
      </c>
      <c r="C102" s="4" t="s">
        <v>150</v>
      </c>
      <c r="D102" s="4" t="s">
        <v>9</v>
      </c>
      <c r="E102" s="4" t="s">
        <v>40</v>
      </c>
      <c r="F102" s="5" t="n">
        <v>581.32</v>
      </c>
      <c r="G102" s="11" t="n">
        <v>1.754</v>
      </c>
      <c r="H102" s="5" t="n">
        <f aca="false">ROUND(F102*G102,2)</f>
        <v>1019.64</v>
      </c>
      <c r="I102" s="11" t="n">
        <v>-176.721</v>
      </c>
      <c r="J102" s="5" t="n">
        <v>842.92</v>
      </c>
      <c r="K102" s="4" t="n">
        <v>10</v>
      </c>
      <c r="L102" s="5"/>
      <c r="M102" s="6" t="n">
        <f aca="false">IF(F102&gt;0,J102/F102,"")</f>
        <v>1.45001032133765</v>
      </c>
      <c r="N102" s="6" t="n">
        <f aca="false">IF(F102&gt;0,J102/F102/(1+K102/100),"")</f>
        <v>1.31819120121604</v>
      </c>
      <c r="O102" s="4" t="str">
        <f aca="false">IF(ABS(ROUND(F102*G102+I102,2)-J102)&lt;=0.025,"OK","CHECK")</f>
        <v>OK</v>
      </c>
      <c r="P102" s="4" t="str">
        <f aca="false">IF(F102=0,"promo line",IF(ABS(H102-F102*G102)&lt;=0.011,"OK","CHECK"))</f>
        <v>OK</v>
      </c>
    </row>
    <row r="103" customFormat="false" ht="15" hidden="false" customHeight="true" outlineLevel="0" collapsed="false">
      <c r="A103" s="4" t="s">
        <v>151</v>
      </c>
      <c r="B103" s="4" t="s">
        <v>64</v>
      </c>
      <c r="C103" s="4" t="s">
        <v>152</v>
      </c>
      <c r="D103" s="4" t="s">
        <v>8</v>
      </c>
      <c r="E103" s="4" t="s">
        <v>41</v>
      </c>
      <c r="F103" s="5" t="n">
        <v>28.78</v>
      </c>
      <c r="G103" s="11" t="n">
        <v>0.899</v>
      </c>
      <c r="H103" s="5" t="n">
        <f aca="false">ROUND(F103*G103,2)</f>
        <v>25.87</v>
      </c>
      <c r="I103" s="11" t="n">
        <v>0</v>
      </c>
      <c r="J103" s="5" t="n">
        <v>25.87</v>
      </c>
      <c r="K103" s="4" t="n">
        <v>21</v>
      </c>
      <c r="L103" s="5"/>
      <c r="M103" s="6" t="n">
        <f aca="false">IF(F103&gt;0,J103/F103,"")</f>
        <v>0.898888116747742</v>
      </c>
      <c r="N103" s="6" t="n">
        <f aca="false">IF(F103&gt;0,J103/F103/(1+K103/100),"")</f>
        <v>0.742882741113836</v>
      </c>
      <c r="O103" s="4" t="str">
        <f aca="false">IF(ABS(ROUND(F103*G103+I103,2)-J103)&lt;=0.025,"OK","CHECK")</f>
        <v>OK</v>
      </c>
      <c r="P103" s="4" t="str">
        <f aca="false">IF(F103=0,"promo line",IF(ABS(H103-F103*G103)&lt;=0.011,"OK","CHECK"))</f>
        <v>OK</v>
      </c>
    </row>
    <row r="104" customFormat="false" ht="15" hidden="false" customHeight="true" outlineLevel="0" collapsed="false">
      <c r="A104" s="4" t="s">
        <v>151</v>
      </c>
      <c r="B104" s="4" t="s">
        <v>64</v>
      </c>
      <c r="C104" s="4" t="s">
        <v>152</v>
      </c>
      <c r="D104" s="4" t="s">
        <v>8</v>
      </c>
      <c r="E104" s="4" t="s">
        <v>40</v>
      </c>
      <c r="F104" s="5" t="n">
        <v>952.95</v>
      </c>
      <c r="G104" s="11" t="n">
        <v>1.799</v>
      </c>
      <c r="H104" s="5" t="n">
        <f aca="false">ROUND(F104*G104,2)</f>
        <v>1714.36</v>
      </c>
      <c r="I104" s="11" t="n">
        <v>-138.178</v>
      </c>
      <c r="J104" s="5" t="n">
        <v>1576.18</v>
      </c>
      <c r="K104" s="4" t="n">
        <v>10</v>
      </c>
      <c r="L104" s="5"/>
      <c r="M104" s="6" t="n">
        <f aca="false">IF(F104&gt;0,J104/F104,"")</f>
        <v>1.6540007345611</v>
      </c>
      <c r="N104" s="6" t="n">
        <f aca="false">IF(F104&gt;0,J104/F104/(1+K104/100),"")</f>
        <v>1.50363703141918</v>
      </c>
      <c r="O104" s="4" t="str">
        <f aca="false">IF(ABS(ROUND(F104*G104+I104,2)-J104)&lt;=0.025,"OK","CHECK")</f>
        <v>OK</v>
      </c>
      <c r="P104" s="4" t="str">
        <f aca="false">IF(F104=0,"promo line",IF(ABS(H104-F104*G104)&lt;=0.011,"OK","CHECK"))</f>
        <v>OK</v>
      </c>
    </row>
    <row r="105" customFormat="false" ht="15" hidden="false" customHeight="true" outlineLevel="0" collapsed="false">
      <c r="A105" s="4" t="s">
        <v>153</v>
      </c>
      <c r="B105" s="4" t="s">
        <v>68</v>
      </c>
      <c r="C105" s="4" t="s">
        <v>154</v>
      </c>
      <c r="D105" s="4" t="s">
        <v>6</v>
      </c>
      <c r="E105" s="4" t="s">
        <v>41</v>
      </c>
      <c r="F105" s="5" t="n">
        <v>31.22</v>
      </c>
      <c r="G105" s="11" t="n">
        <v>0.995</v>
      </c>
      <c r="H105" s="5" t="n">
        <f aca="false">ROUND(F105*G105,2)</f>
        <v>31.06</v>
      </c>
      <c r="I105" s="11" t="n">
        <v>-15.11</v>
      </c>
      <c r="J105" s="5" t="n">
        <v>15.95</v>
      </c>
      <c r="K105" s="4" t="n">
        <v>21</v>
      </c>
      <c r="L105" s="5"/>
      <c r="M105" s="6" t="n">
        <f aca="false">IF(F105&gt;0,J105/F105,"")</f>
        <v>0.510890454836643</v>
      </c>
      <c r="N105" s="6" t="n">
        <f aca="false">IF(F105&gt;0,J105/F105/(1+K105/100),"")</f>
        <v>0.42222351639392</v>
      </c>
      <c r="O105" s="4" t="str">
        <f aca="false">IF(ABS(ROUND(F105*G105+I105,2)-J105)&lt;=0.025,"OK","CHECK")</f>
        <v>OK</v>
      </c>
      <c r="P105" s="4" t="str">
        <f aca="false">IF(F105=0,"promo line",IF(ABS(H105-F105*G105)&lt;=0.011,"OK","CHECK"))</f>
        <v>OK</v>
      </c>
    </row>
    <row r="106" customFormat="false" ht="15" hidden="false" customHeight="true" outlineLevel="0" collapsed="false">
      <c r="A106" s="4" t="s">
        <v>153</v>
      </c>
      <c r="B106" s="4" t="s">
        <v>68</v>
      </c>
      <c r="C106" s="4" t="s">
        <v>154</v>
      </c>
      <c r="D106" s="4" t="s">
        <v>6</v>
      </c>
      <c r="E106" s="4" t="s">
        <v>40</v>
      </c>
      <c r="F106" s="5" t="n">
        <v>695.18</v>
      </c>
      <c r="G106" s="11" t="n">
        <v>1.754</v>
      </c>
      <c r="H106" s="5" t="n">
        <f aca="false">ROUND(F106*G106,2)</f>
        <v>1219.35</v>
      </c>
      <c r="I106" s="11" t="n">
        <v>-203.688</v>
      </c>
      <c r="J106" s="5" t="n">
        <v>1015.65</v>
      </c>
      <c r="K106" s="4" t="n">
        <v>10</v>
      </c>
      <c r="L106" s="5"/>
      <c r="M106" s="6" t="n">
        <f aca="false">IF(F106&gt;0,J106/F106,"")</f>
        <v>1.4609885209586</v>
      </c>
      <c r="N106" s="6" t="n">
        <f aca="false">IF(F106&gt;0,J106/F106/(1+K106/100),"")</f>
        <v>1.32817138268964</v>
      </c>
      <c r="O106" s="4" t="str">
        <f aca="false">IF(ABS(ROUND(F106*G106+I106,2)-J106)&lt;=0.025,"OK","CHECK")</f>
        <v>OK</v>
      </c>
      <c r="P106" s="4" t="str">
        <f aca="false">IF(F106=0,"promo line",IF(ABS(H106-F106*G106)&lt;=0.011,"OK","CHECK"))</f>
        <v>OK</v>
      </c>
    </row>
    <row r="107" customFormat="false" ht="15" hidden="false" customHeight="true" outlineLevel="0" collapsed="false">
      <c r="A107" s="4" t="s">
        <v>155</v>
      </c>
      <c r="B107" s="4" t="s">
        <v>43</v>
      </c>
      <c r="C107" s="4" t="s">
        <v>156</v>
      </c>
      <c r="D107" s="4" t="s">
        <v>7</v>
      </c>
      <c r="E107" s="4" t="s">
        <v>41</v>
      </c>
      <c r="F107" s="5" t="n">
        <v>32.2</v>
      </c>
      <c r="G107" s="11" t="n">
        <v>0.995</v>
      </c>
      <c r="H107" s="5" t="n">
        <f aca="false">ROUND(F107*G107,2)</f>
        <v>32.04</v>
      </c>
      <c r="I107" s="11" t="n">
        <v>-15.585</v>
      </c>
      <c r="J107" s="5" t="n">
        <v>16.46</v>
      </c>
      <c r="K107" s="4" t="n">
        <v>21</v>
      </c>
      <c r="L107" s="5"/>
      <c r="M107" s="6" t="n">
        <f aca="false">IF(F107&gt;0,J107/F107,"")</f>
        <v>0.511180124223603</v>
      </c>
      <c r="N107" s="6" t="n">
        <f aca="false">IF(F107&gt;0,J107/F107/(1+K107/100),"")</f>
        <v>0.42246291258149</v>
      </c>
      <c r="O107" s="4" t="str">
        <f aca="false">IF(ABS(ROUND(F107*G107+I107,2)-J107)&lt;=0.025,"OK","CHECK")</f>
        <v>OK</v>
      </c>
      <c r="P107" s="4" t="str">
        <f aca="false">IF(F107=0,"promo line",IF(ABS(H107-F107*G107)&lt;=0.011,"OK","CHECK"))</f>
        <v>OK</v>
      </c>
    </row>
    <row r="108" customFormat="false" ht="15" hidden="false" customHeight="true" outlineLevel="0" collapsed="false">
      <c r="A108" s="4" t="s">
        <v>155</v>
      </c>
      <c r="B108" s="4" t="s">
        <v>43</v>
      </c>
      <c r="C108" s="4" t="s">
        <v>156</v>
      </c>
      <c r="D108" s="4" t="s">
        <v>7</v>
      </c>
      <c r="E108" s="4" t="s">
        <v>40</v>
      </c>
      <c r="F108" s="5" t="n">
        <v>610.32</v>
      </c>
      <c r="G108" s="11" t="n">
        <v>1.738</v>
      </c>
      <c r="H108" s="5" t="n">
        <f aca="false">ROUND(F108*G108,2)</f>
        <v>1060.74</v>
      </c>
      <c r="I108" s="11" t="n">
        <v>-196.523</v>
      </c>
      <c r="J108" s="5" t="n">
        <v>864.21</v>
      </c>
      <c r="K108" s="4" t="n">
        <v>10</v>
      </c>
      <c r="L108" s="5"/>
      <c r="M108" s="6" t="n">
        <f aca="false">IF(F108&gt;0,J108/F108,"")</f>
        <v>1.41599488792764</v>
      </c>
      <c r="N108" s="6" t="n">
        <f aca="false">IF(F108&gt;0,J108/F108/(1+K108/100),"")</f>
        <v>1.28726807993422</v>
      </c>
      <c r="O108" s="4" t="str">
        <f aca="false">IF(ABS(ROUND(F108*G108+I108,2)-J108)&lt;=0.025,"OK","CHECK")</f>
        <v>OK</v>
      </c>
      <c r="P108" s="4" t="str">
        <f aca="false">IF(F108=0,"promo line",IF(ABS(H108-F108*G108)&lt;=0.011,"OK","CHECK"))</f>
        <v>OK</v>
      </c>
    </row>
    <row r="109" customFormat="false" ht="15" hidden="false" customHeight="true" outlineLevel="0" collapsed="false">
      <c r="A109" s="4" t="s">
        <v>157</v>
      </c>
      <c r="B109" s="4" t="s">
        <v>70</v>
      </c>
      <c r="C109" s="4" t="s">
        <v>158</v>
      </c>
      <c r="D109" s="4" t="s">
        <v>6</v>
      </c>
      <c r="E109" s="4" t="s">
        <v>41</v>
      </c>
      <c r="F109" s="5" t="n">
        <v>45.07</v>
      </c>
      <c r="G109" s="11" t="n">
        <v>0.995</v>
      </c>
      <c r="H109" s="5" t="n">
        <f aca="false">ROUND(F109*G109,2)</f>
        <v>44.84</v>
      </c>
      <c r="I109" s="11" t="n">
        <v>-21.814</v>
      </c>
      <c r="J109" s="5" t="n">
        <v>23.03</v>
      </c>
      <c r="K109" s="4" t="n">
        <v>21</v>
      </c>
      <c r="L109" s="5"/>
      <c r="M109" s="6" t="n">
        <f aca="false">IF(F109&gt;0,J109/F109,"")</f>
        <v>0.510982915464833</v>
      </c>
      <c r="N109" s="6" t="n">
        <f aca="false">IF(F109&gt;0,J109/F109/(1+K109/100),"")</f>
        <v>0.422299930136225</v>
      </c>
      <c r="O109" s="4" t="str">
        <f aca="false">IF(ABS(ROUND(F109*G109+I109,2)-J109)&lt;=0.025,"OK","CHECK")</f>
        <v>OK</v>
      </c>
      <c r="P109" s="4" t="str">
        <f aca="false">IF(F109=0,"promo line",IF(ABS(H109-F109*G109)&lt;=0.011,"OK","CHECK"))</f>
        <v>OK</v>
      </c>
    </row>
    <row r="110" customFormat="false" ht="15" hidden="false" customHeight="true" outlineLevel="0" collapsed="false">
      <c r="A110" s="4" t="s">
        <v>157</v>
      </c>
      <c r="B110" s="4" t="s">
        <v>70</v>
      </c>
      <c r="C110" s="4" t="s">
        <v>158</v>
      </c>
      <c r="D110" s="4" t="s">
        <v>6</v>
      </c>
      <c r="E110" s="4" t="s">
        <v>40</v>
      </c>
      <c r="F110" s="5" t="n">
        <v>481.42</v>
      </c>
      <c r="G110" s="11" t="n">
        <v>1.71</v>
      </c>
      <c r="H110" s="5" t="n">
        <f aca="false">ROUND(F110*G110,2)</f>
        <v>823.23</v>
      </c>
      <c r="I110" s="11" t="n">
        <v>-166.09</v>
      </c>
      <c r="J110" s="5" t="n">
        <v>657.14</v>
      </c>
      <c r="K110" s="4" t="n">
        <v>10</v>
      </c>
      <c r="L110" s="5"/>
      <c r="M110" s="6" t="n">
        <f aca="false">IF(F110&gt;0,J110/F110,"")</f>
        <v>1.36500353122014</v>
      </c>
      <c r="N110" s="6" t="n">
        <f aca="false">IF(F110&gt;0,J110/F110/(1+K110/100),"")</f>
        <v>1.24091230110922</v>
      </c>
      <c r="O110" s="4" t="str">
        <f aca="false">IF(ABS(ROUND(F110*G110+I110,2)-J110)&lt;=0.025,"OK","CHECK")</f>
        <v>OK</v>
      </c>
      <c r="P110" s="4" t="str">
        <f aca="false">IF(F110=0,"promo line",IF(ABS(H110-F110*G110)&lt;=0.011,"OK","CHECK"))</f>
        <v>OK</v>
      </c>
    </row>
    <row r="111" customFormat="false" ht="15" hidden="false" customHeight="true" outlineLevel="0" collapsed="false">
      <c r="A111" s="4" t="s">
        <v>159</v>
      </c>
      <c r="B111" s="4" t="s">
        <v>46</v>
      </c>
      <c r="C111" s="4" t="s">
        <v>160</v>
      </c>
      <c r="D111" s="4" t="s">
        <v>6</v>
      </c>
      <c r="E111" s="4" t="s">
        <v>40</v>
      </c>
      <c r="F111" s="5" t="n">
        <v>921.33</v>
      </c>
      <c r="G111" s="11" t="n">
        <v>1.742</v>
      </c>
      <c r="H111" s="5" t="n">
        <f aca="false">ROUND(F111*G111,2)</f>
        <v>1604.96</v>
      </c>
      <c r="I111" s="11" t="n">
        <v>-290.219</v>
      </c>
      <c r="J111" s="5" t="n">
        <v>1314.74</v>
      </c>
      <c r="K111" s="4" t="n">
        <v>10</v>
      </c>
      <c r="L111" s="5"/>
      <c r="M111" s="6" t="n">
        <f aca="false">IF(F111&gt;0,J111/F111,"")</f>
        <v>1.42700226845973</v>
      </c>
      <c r="N111" s="6" t="n">
        <f aca="false">IF(F111&gt;0,J111/F111/(1+K111/100),"")</f>
        <v>1.29727478950884</v>
      </c>
      <c r="O111" s="4" t="str">
        <f aca="false">IF(ABS(ROUND(F111*G111+I111,2)-J111)&lt;=0.025,"OK","CHECK")</f>
        <v>OK</v>
      </c>
      <c r="P111" s="4" t="str">
        <f aca="false">IF(F111=0,"promo line",IF(ABS(H111-F111*G111)&lt;=0.011,"OK","CHECK"))</f>
        <v>OK</v>
      </c>
    </row>
    <row r="112" customFormat="false" ht="15" hidden="false" customHeight="true" outlineLevel="0" collapsed="false">
      <c r="A112" s="4" t="s">
        <v>161</v>
      </c>
      <c r="B112" s="4" t="s">
        <v>162</v>
      </c>
      <c r="C112" s="4" t="s">
        <v>163</v>
      </c>
      <c r="D112" s="4" t="s">
        <v>15</v>
      </c>
      <c r="E112" s="4" t="s">
        <v>136</v>
      </c>
      <c r="F112" s="5" t="n">
        <v>403.64</v>
      </c>
      <c r="G112" s="11" t="n">
        <v>1.764</v>
      </c>
      <c r="H112" s="5" t="n">
        <f aca="false">ROUND(F112*G112,2)</f>
        <v>712.02</v>
      </c>
      <c r="I112" s="11" t="n">
        <v>-123.514</v>
      </c>
      <c r="J112" s="5" t="n">
        <v>588.51</v>
      </c>
      <c r="K112" s="4" t="n">
        <v>10</v>
      </c>
      <c r="L112" s="5"/>
      <c r="M112" s="6" t="n">
        <f aca="false">IF(F112&gt;0,J112/F112,"")</f>
        <v>1.45800713507086</v>
      </c>
      <c r="N112" s="6" t="n">
        <f aca="false">IF(F112&gt;0,J112/F112/(1+K112/100),"")</f>
        <v>1.3254610318826</v>
      </c>
      <c r="O112" s="4" t="str">
        <f aca="false">IF(ABS(ROUND(F112*G112+I112,2)-J112)&lt;=0.025,"OK","CHECK")</f>
        <v>OK</v>
      </c>
      <c r="P112" s="4" t="str">
        <f aca="false">IF(F112=0,"promo line",IF(ABS(H112-F112*G112)&lt;=0.011,"OK","CHECK"))</f>
        <v>OK</v>
      </c>
    </row>
    <row r="113" customFormat="false" ht="15" hidden="false" customHeight="true" outlineLevel="0" collapsed="false">
      <c r="A113" s="4" t="s">
        <v>164</v>
      </c>
      <c r="B113" s="4" t="s">
        <v>68</v>
      </c>
      <c r="C113" s="4" t="s">
        <v>165</v>
      </c>
      <c r="D113" s="4" t="s">
        <v>12</v>
      </c>
      <c r="E113" s="4" t="s">
        <v>41</v>
      </c>
      <c r="F113" s="5" t="n">
        <v>34.01</v>
      </c>
      <c r="G113" s="11" t="n">
        <v>0.995</v>
      </c>
      <c r="H113" s="5" t="n">
        <f aca="false">ROUND(F113*G113,2)</f>
        <v>33.84</v>
      </c>
      <c r="I113" s="11" t="n">
        <v>-12.992</v>
      </c>
      <c r="J113" s="5" t="n">
        <v>20.85</v>
      </c>
      <c r="K113" s="4" t="n">
        <v>21</v>
      </c>
      <c r="L113" s="5"/>
      <c r="M113" s="6" t="n">
        <f aca="false">IF(F113&gt;0,J113/F113,"")</f>
        <v>0.613054983828286</v>
      </c>
      <c r="N113" s="6" t="n">
        <f aca="false">IF(F113&gt;0,J113/F113/(1+K113/100),"")</f>
        <v>0.506657011428335</v>
      </c>
      <c r="O113" s="4" t="str">
        <f aca="false">IF(ABS(ROUND(F113*G113+I113,2)-J113)&lt;=0.025,"OK","CHECK")</f>
        <v>OK</v>
      </c>
      <c r="P113" s="4" t="str">
        <f aca="false">IF(F113=0,"promo line",IF(ABS(H113-F113*G113)&lt;=0.011,"OK","CHECK"))</f>
        <v>OK</v>
      </c>
    </row>
    <row r="114" customFormat="false" ht="15" hidden="false" customHeight="true" outlineLevel="0" collapsed="false">
      <c r="A114" s="4" t="s">
        <v>164</v>
      </c>
      <c r="B114" s="4" t="s">
        <v>68</v>
      </c>
      <c r="C114" s="4" t="s">
        <v>165</v>
      </c>
      <c r="D114" s="4" t="s">
        <v>12</v>
      </c>
      <c r="E114" s="4" t="s">
        <v>40</v>
      </c>
      <c r="F114" s="5" t="n">
        <v>409.02</v>
      </c>
      <c r="G114" s="11" t="n">
        <v>1.734</v>
      </c>
      <c r="H114" s="5" t="n">
        <f aca="false">ROUND(F114*G114,2)</f>
        <v>709.24</v>
      </c>
      <c r="I114" s="11" t="n">
        <v>-117.389</v>
      </c>
      <c r="J114" s="5" t="n">
        <v>591.85</v>
      </c>
      <c r="K114" s="4" t="n">
        <v>10</v>
      </c>
      <c r="L114" s="5"/>
      <c r="M114" s="6" t="n">
        <f aca="false">IF(F114&gt;0,J114/F114,"")</f>
        <v>1.44699525695565</v>
      </c>
      <c r="N114" s="6" t="n">
        <f aca="false">IF(F114&gt;0,J114/F114/(1+K114/100),"")</f>
        <v>1.31545023359605</v>
      </c>
      <c r="O114" s="4" t="str">
        <f aca="false">IF(ABS(ROUND(F114*G114+I114,2)-J114)&lt;=0.025,"OK","CHECK")</f>
        <v>OK</v>
      </c>
      <c r="P114" s="4" t="str">
        <f aca="false">IF(F114=0,"promo line",IF(ABS(H114-F114*G114)&lt;=0.011,"OK","CHECK"))</f>
        <v>OK</v>
      </c>
    </row>
    <row r="115" customFormat="false" ht="15" hidden="false" customHeight="true" outlineLevel="0" collapsed="false">
      <c r="A115" s="4" t="s">
        <v>164</v>
      </c>
      <c r="B115" s="4" t="s">
        <v>43</v>
      </c>
      <c r="C115" s="4" t="s">
        <v>166</v>
      </c>
      <c r="D115" s="4" t="s">
        <v>11</v>
      </c>
      <c r="E115" s="4" t="s">
        <v>41</v>
      </c>
      <c r="F115" s="5" t="n">
        <v>47.15</v>
      </c>
      <c r="G115" s="11" t="n">
        <v>0.995</v>
      </c>
      <c r="H115" s="5" t="n">
        <f aca="false">ROUND(F115*G115,2)</f>
        <v>46.91</v>
      </c>
      <c r="I115" s="11" t="n">
        <v>-18.011</v>
      </c>
      <c r="J115" s="5" t="n">
        <v>28.91</v>
      </c>
      <c r="K115" s="4" t="n">
        <v>21</v>
      </c>
      <c r="L115" s="5"/>
      <c r="M115" s="6" t="n">
        <f aca="false">IF(F115&gt;0,J115/F115,"")</f>
        <v>0.613149522799576</v>
      </c>
      <c r="N115" s="6" t="n">
        <f aca="false">IF(F115&gt;0,J115/F115/(1+K115/100),"")</f>
        <v>0.506735142809567</v>
      </c>
      <c r="O115" s="4" t="str">
        <f aca="false">IF(ABS(ROUND(F115*G115+I115,2)-J115)&lt;=0.025,"OK","CHECK")</f>
        <v>OK</v>
      </c>
      <c r="P115" s="4" t="str">
        <f aca="false">IF(F115=0,"promo line",IF(ABS(H115-F115*G115)&lt;=0.011,"OK","CHECK"))</f>
        <v>OK</v>
      </c>
    </row>
    <row r="116" customFormat="false" ht="15" hidden="false" customHeight="true" outlineLevel="0" collapsed="false">
      <c r="A116" s="4" t="s">
        <v>164</v>
      </c>
      <c r="B116" s="4" t="s">
        <v>43</v>
      </c>
      <c r="C116" s="4" t="s">
        <v>166</v>
      </c>
      <c r="D116" s="4" t="s">
        <v>11</v>
      </c>
      <c r="E116" s="4" t="s">
        <v>40</v>
      </c>
      <c r="F116" s="5" t="n">
        <v>899.48</v>
      </c>
      <c r="G116" s="11" t="n">
        <v>1.678</v>
      </c>
      <c r="H116" s="5" t="n">
        <f aca="false">ROUND(F116*G116,2)</f>
        <v>1509.33</v>
      </c>
      <c r="I116" s="11" t="n">
        <v>-233.865</v>
      </c>
      <c r="J116" s="5" t="n">
        <v>1275.46</v>
      </c>
      <c r="K116" s="4" t="n">
        <v>10</v>
      </c>
      <c r="L116" s="5"/>
      <c r="M116" s="6" t="n">
        <f aca="false">IF(F116&gt;0,J116/F116,"")</f>
        <v>1.41799706497087</v>
      </c>
      <c r="N116" s="6" t="n">
        <f aca="false">IF(F116&gt;0,J116/F116/(1+K116/100),"")</f>
        <v>1.28908824088261</v>
      </c>
      <c r="O116" s="4" t="str">
        <f aca="false">IF(ABS(ROUND(F116*G116+I116,2)-J116)&lt;=0.025,"OK","CHECK")</f>
        <v>OK</v>
      </c>
      <c r="P116" s="4" t="str">
        <f aca="false">IF(F116=0,"promo line",IF(ABS(H116-F116*G116)&lt;=0.011,"OK","CHECK"))</f>
        <v>OK</v>
      </c>
    </row>
    <row r="117" customFormat="false" ht="15" hidden="false" customHeight="true" outlineLevel="0" collapsed="false">
      <c r="A117" s="4" t="s">
        <v>167</v>
      </c>
      <c r="B117" s="4" t="s">
        <v>43</v>
      </c>
      <c r="C117" s="4" t="s">
        <v>168</v>
      </c>
      <c r="D117" s="4" t="s">
        <v>8</v>
      </c>
      <c r="E117" s="4" t="s">
        <v>40</v>
      </c>
      <c r="F117" s="5" t="n">
        <v>910.78</v>
      </c>
      <c r="G117" s="11" t="n">
        <v>1.799</v>
      </c>
      <c r="H117" s="5" t="n">
        <f aca="false">ROUND(F117*G117,2)</f>
        <v>1638.49</v>
      </c>
      <c r="I117" s="11" t="n">
        <v>-224.052</v>
      </c>
      <c r="J117" s="5" t="n">
        <v>1414.44</v>
      </c>
      <c r="K117" s="4" t="n">
        <v>10</v>
      </c>
      <c r="L117" s="5"/>
      <c r="M117" s="6" t="n">
        <f aca="false">IF(F117&gt;0,J117/F117,"")</f>
        <v>1.55299852873361</v>
      </c>
      <c r="N117" s="6" t="n">
        <f aca="false">IF(F117&gt;0,J117/F117/(1+K117/100),"")</f>
        <v>1.41181684430328</v>
      </c>
      <c r="O117" s="4" t="str">
        <f aca="false">IF(ABS(ROUND(F117*G117+I117,2)-J117)&lt;=0.025,"OK","CHECK")</f>
        <v>OK</v>
      </c>
      <c r="P117" s="4" t="str">
        <f aca="false">IF(F117=0,"promo line",IF(ABS(H117-F117*G117)&lt;=0.011,"OK","CHECK"))</f>
        <v>OK</v>
      </c>
    </row>
    <row r="118" customFormat="false" ht="15" hidden="false" customHeight="true" outlineLevel="0" collapsed="false">
      <c r="A118" s="4" t="s">
        <v>167</v>
      </c>
      <c r="B118" s="4" t="s">
        <v>43</v>
      </c>
      <c r="C118" s="4" t="s">
        <v>169</v>
      </c>
      <c r="D118" s="4" t="s">
        <v>8</v>
      </c>
      <c r="E118" s="4" t="s">
        <v>41</v>
      </c>
      <c r="F118" s="5" t="n">
        <v>35.64</v>
      </c>
      <c r="G118" s="11" t="n">
        <v>0.899</v>
      </c>
      <c r="H118" s="5" t="n">
        <f aca="false">ROUND(F118*G118,2)</f>
        <v>32.04</v>
      </c>
      <c r="I118" s="11" t="n">
        <v>0</v>
      </c>
      <c r="J118" s="5" t="n">
        <v>32.04</v>
      </c>
      <c r="K118" s="4" t="n">
        <v>21</v>
      </c>
      <c r="L118" s="5"/>
      <c r="M118" s="6" t="n">
        <f aca="false">IF(F118&gt;0,J118/F118,"")</f>
        <v>0.898989898989899</v>
      </c>
      <c r="N118" s="6" t="n">
        <f aca="false">IF(F118&gt;0,J118/F118/(1+K118/100),"")</f>
        <v>0.742966858669338</v>
      </c>
      <c r="O118" s="4" t="str">
        <f aca="false">IF(ABS(ROUND(F118*G118+I118,2)-J118)&lt;=0.025,"OK","CHECK")</f>
        <v>OK</v>
      </c>
      <c r="P118" s="4" t="str">
        <f aca="false">IF(F118=0,"promo line",IF(ABS(H118-F118*G118)&lt;=0.011,"OK","CHECK"))</f>
        <v>OK</v>
      </c>
    </row>
    <row r="119" customFormat="false" ht="15" hidden="false" customHeight="true" outlineLevel="0" collapsed="false">
      <c r="A119" s="4" t="s">
        <v>170</v>
      </c>
      <c r="B119" s="4" t="s">
        <v>102</v>
      </c>
      <c r="C119" s="4" t="s">
        <v>171</v>
      </c>
      <c r="D119" s="4" t="s">
        <v>13</v>
      </c>
      <c r="E119" s="4" t="s">
        <v>136</v>
      </c>
      <c r="F119" s="5" t="n">
        <v>400.02</v>
      </c>
      <c r="G119" s="11" t="n">
        <v>1.769</v>
      </c>
      <c r="H119" s="5" t="n">
        <f aca="false">ROUND(F119*G119,2)</f>
        <v>707.64</v>
      </c>
      <c r="I119" s="11" t="n">
        <v>-110.406</v>
      </c>
      <c r="J119" s="5" t="n">
        <v>597.23</v>
      </c>
      <c r="K119" s="4" t="n">
        <v>10</v>
      </c>
      <c r="L119" s="5"/>
      <c r="M119" s="6" t="n">
        <f aca="false">IF(F119&gt;0,J119/F119,"")</f>
        <v>1.4930003499825</v>
      </c>
      <c r="N119" s="6" t="n">
        <f aca="false">IF(F119&gt;0,J119/F119/(1+K119/100),"")</f>
        <v>1.35727304543864</v>
      </c>
      <c r="O119" s="4" t="str">
        <f aca="false">IF(ABS(ROUND(F119*G119+I119,2)-J119)&lt;=0.025,"OK","CHECK")</f>
        <v>OK</v>
      </c>
      <c r="P119" s="4" t="str">
        <f aca="false">IF(F119=0,"promo line",IF(ABS(H119-F119*G119)&lt;=0.011,"OK","CHECK"))</f>
        <v>OK</v>
      </c>
    </row>
    <row r="120" customFormat="false" ht="15" hidden="false" customHeight="true" outlineLevel="0" collapsed="false">
      <c r="A120" s="4" t="s">
        <v>170</v>
      </c>
      <c r="B120" s="4" t="s">
        <v>102</v>
      </c>
      <c r="C120" s="4" t="s">
        <v>171</v>
      </c>
      <c r="D120" s="4" t="s">
        <v>13</v>
      </c>
      <c r="E120" s="4" t="s">
        <v>41</v>
      </c>
      <c r="F120" s="5" t="n">
        <v>52.5</v>
      </c>
      <c r="G120" s="11" t="n">
        <v>0.995</v>
      </c>
      <c r="H120" s="5" t="n">
        <f aca="false">ROUND(F120*G120,2)</f>
        <v>52.24</v>
      </c>
      <c r="I120" s="11" t="n">
        <v>0</v>
      </c>
      <c r="J120" s="5" t="n">
        <v>52.24</v>
      </c>
      <c r="K120" s="4" t="n">
        <v>21</v>
      </c>
      <c r="L120" s="5"/>
      <c r="M120" s="6" t="n">
        <f aca="false">IF(F120&gt;0,J120/F120,"")</f>
        <v>0.995047619047619</v>
      </c>
      <c r="N120" s="6" t="n">
        <f aca="false">IF(F120&gt;0,J120/F120/(1+K120/100),"")</f>
        <v>0.822353404171586</v>
      </c>
      <c r="O120" s="4" t="str">
        <f aca="false">IF(ABS(ROUND(F120*G120+I120,2)-J120)&lt;=0.025,"OK","CHECK")</f>
        <v>OK</v>
      </c>
      <c r="P120" s="4" t="str">
        <f aca="false">IF(F120=0,"promo line",IF(ABS(H120-F120*G120)&lt;=0.011,"OK","CHECK"))</f>
        <v>OK</v>
      </c>
    </row>
    <row r="121" customFormat="false" ht="15" hidden="false" customHeight="true" outlineLevel="0" collapsed="false">
      <c r="A121" s="4" t="s">
        <v>170</v>
      </c>
      <c r="B121" s="4" t="s">
        <v>106</v>
      </c>
      <c r="C121" s="4" t="s">
        <v>172</v>
      </c>
      <c r="D121" s="4" t="s">
        <v>10</v>
      </c>
      <c r="E121" s="4" t="s">
        <v>40</v>
      </c>
      <c r="F121" s="5" t="n">
        <v>695.44</v>
      </c>
      <c r="G121" s="11" t="n">
        <v>1.754</v>
      </c>
      <c r="H121" s="5" t="n">
        <f aca="false">ROUND(F121*G121,2)</f>
        <v>1219.8</v>
      </c>
      <c r="I121" s="11" t="n">
        <v>-185.682</v>
      </c>
      <c r="J121" s="5" t="n">
        <v>1034.13</v>
      </c>
      <c r="K121" s="4" t="n">
        <v>10</v>
      </c>
      <c r="L121" s="5"/>
      <c r="M121" s="6" t="n">
        <f aca="false">IF(F121&gt;0,J121/F121,"")</f>
        <v>1.48701541470148</v>
      </c>
      <c r="N121" s="6" t="n">
        <f aca="false">IF(F121&gt;0,J121/F121/(1+K121/100),"")</f>
        <v>1.35183219518317</v>
      </c>
      <c r="O121" s="4" t="str">
        <f aca="false">IF(ABS(ROUND(F121*G121+I121,2)-J121)&lt;=0.025,"OK","CHECK")</f>
        <v>OK</v>
      </c>
      <c r="P121" s="4" t="str">
        <f aca="false">IF(F121=0,"promo line",IF(ABS(H121-F121*G121)&lt;=0.011,"OK","CHECK"))</f>
        <v>OK</v>
      </c>
    </row>
    <row r="122" customFormat="false" ht="15" hidden="false" customHeight="true" outlineLevel="0" collapsed="false">
      <c r="A122" s="4" t="s">
        <v>170</v>
      </c>
      <c r="B122" s="4" t="s">
        <v>106</v>
      </c>
      <c r="C122" s="4" t="s">
        <v>172</v>
      </c>
      <c r="D122" s="4" t="s">
        <v>10</v>
      </c>
      <c r="E122" s="4" t="s">
        <v>41</v>
      </c>
      <c r="F122" s="5" t="n">
        <v>20.57</v>
      </c>
      <c r="G122" s="11" t="n">
        <v>0.995</v>
      </c>
      <c r="H122" s="5" t="n">
        <f aca="false">ROUND(F122*G122,2)</f>
        <v>20.47</v>
      </c>
      <c r="I122" s="11" t="n">
        <v>-9.956</v>
      </c>
      <c r="J122" s="5" t="n">
        <v>10.51</v>
      </c>
      <c r="K122" s="4" t="n">
        <v>21</v>
      </c>
      <c r="L122" s="5"/>
      <c r="M122" s="6" t="n">
        <f aca="false">IF(F122&gt;0,J122/F122,"")</f>
        <v>0.510938259601361</v>
      </c>
      <c r="N122" s="6" t="n">
        <f aca="false">IF(F122&gt;0,J122/F122/(1+K122/100),"")</f>
        <v>0.422263024463935</v>
      </c>
      <c r="O122" s="4" t="str">
        <f aca="false">IF(ABS(ROUND(F122*G122+I122,2)-J122)&lt;=0.025,"OK","CHECK")</f>
        <v>OK</v>
      </c>
      <c r="P122" s="4" t="str">
        <f aca="false">IF(F122=0,"promo line",IF(ABS(H122-F122*G122)&lt;=0.011,"OK","CHECK"))</f>
        <v>OK</v>
      </c>
    </row>
    <row r="123" customFormat="false" ht="15" hidden="false" customHeight="true" outlineLevel="0" collapsed="false">
      <c r="A123" s="4" t="s">
        <v>173</v>
      </c>
      <c r="B123" s="4" t="s">
        <v>68</v>
      </c>
      <c r="C123" s="4" t="s">
        <v>174</v>
      </c>
      <c r="D123" s="4" t="s">
        <v>8</v>
      </c>
      <c r="E123" s="4" t="s">
        <v>40</v>
      </c>
      <c r="F123" s="5" t="n">
        <v>865.08</v>
      </c>
      <c r="G123" s="11" t="n">
        <v>1.799</v>
      </c>
      <c r="H123" s="5" t="n">
        <f aca="false">ROUND(F123*G123,2)</f>
        <v>1556.28</v>
      </c>
      <c r="I123" s="11" t="n">
        <v>-180.802</v>
      </c>
      <c r="J123" s="5" t="n">
        <v>1375.48</v>
      </c>
      <c r="K123" s="4" t="n">
        <v>10</v>
      </c>
      <c r="L123" s="5"/>
      <c r="M123" s="6" t="n">
        <f aca="false">IF(F123&gt;0,J123/F123,"")</f>
        <v>1.59000323669487</v>
      </c>
      <c r="N123" s="6" t="n">
        <f aca="false">IF(F123&gt;0,J123/F123/(1+K123/100),"")</f>
        <v>1.44545748790443</v>
      </c>
      <c r="O123" s="4" t="str">
        <f aca="false">IF(ABS(ROUND(F123*G123+I123,2)-J123)&lt;=0.025,"OK","CHECK")</f>
        <v>OK</v>
      </c>
      <c r="P123" s="4" t="str">
        <f aca="false">IF(F123=0,"promo line",IF(ABS(H123-F123*G123)&lt;=0.011,"OK","CHECK"))</f>
        <v>OK</v>
      </c>
    </row>
    <row r="124" customFormat="false" ht="15" hidden="false" customHeight="true" outlineLevel="0" collapsed="false">
      <c r="A124" s="4" t="s">
        <v>173</v>
      </c>
      <c r="B124" s="4" t="s">
        <v>68</v>
      </c>
      <c r="C124" s="4" t="s">
        <v>175</v>
      </c>
      <c r="D124" s="4" t="s">
        <v>8</v>
      </c>
      <c r="E124" s="4" t="s">
        <v>41</v>
      </c>
      <c r="F124" s="5" t="n">
        <v>100</v>
      </c>
      <c r="G124" s="11" t="n">
        <v>0.899</v>
      </c>
      <c r="H124" s="5" t="n">
        <f aca="false">ROUND(F124*G124,2)</f>
        <v>89.9</v>
      </c>
      <c r="I124" s="11" t="n">
        <v>0</v>
      </c>
      <c r="J124" s="5" t="n">
        <v>89.9</v>
      </c>
      <c r="K124" s="4" t="n">
        <v>21</v>
      </c>
      <c r="L124" s="5"/>
      <c r="M124" s="6" t="n">
        <f aca="false">IF(F124&gt;0,J124/F124,"")</f>
        <v>0.899</v>
      </c>
      <c r="N124" s="6" t="n">
        <f aca="false">IF(F124&gt;0,J124/F124/(1+K124/100),"")</f>
        <v>0.74297520661157</v>
      </c>
      <c r="O124" s="4" t="str">
        <f aca="false">IF(ABS(ROUND(F124*G124+I124,2)-J124)&lt;=0.025,"OK","CHECK")</f>
        <v>OK</v>
      </c>
      <c r="P124" s="4" t="str">
        <f aca="false">IF(F124=0,"promo line",IF(ABS(H124-F124*G124)&lt;=0.011,"OK","CHECK"))</f>
        <v>OK</v>
      </c>
    </row>
    <row r="125" customFormat="false" ht="15" hidden="false" customHeight="true" outlineLevel="0" collapsed="false">
      <c r="A125" s="4" t="s">
        <v>176</v>
      </c>
      <c r="B125" s="4" t="s">
        <v>162</v>
      </c>
      <c r="C125" s="4" t="s">
        <v>177</v>
      </c>
      <c r="D125" s="4" t="s">
        <v>7</v>
      </c>
      <c r="E125" s="4" t="s">
        <v>41</v>
      </c>
      <c r="F125" s="5" t="n">
        <v>68.17</v>
      </c>
      <c r="G125" s="11" t="n">
        <v>0.995</v>
      </c>
      <c r="H125" s="5" t="n">
        <f aca="false">ROUND(F125*G125,2)</f>
        <v>67.83</v>
      </c>
      <c r="I125" s="11" t="n">
        <v>-32.994</v>
      </c>
      <c r="J125" s="5" t="n">
        <v>34.84</v>
      </c>
      <c r="K125" s="4" t="n">
        <v>21</v>
      </c>
      <c r="L125" s="5"/>
      <c r="M125" s="6" t="n">
        <f aca="false">IF(F125&gt;0,J125/F125,"")</f>
        <v>0.511075253043861</v>
      </c>
      <c r="N125" s="6" t="n">
        <f aca="false">IF(F125&gt;0,J125/F125/(1+K125/100),"")</f>
        <v>0.422376242185009</v>
      </c>
      <c r="O125" s="4" t="str">
        <f aca="false">IF(ABS(ROUND(F125*G125+I125,2)-J125)&lt;=0.025,"OK","CHECK")</f>
        <v>OK</v>
      </c>
      <c r="P125" s="4" t="str">
        <f aca="false">IF(F125=0,"promo line",IF(ABS(H125-F125*G125)&lt;=0.011,"OK","CHECK"))</f>
        <v>OK</v>
      </c>
    </row>
    <row r="126" customFormat="false" ht="15" hidden="false" customHeight="true" outlineLevel="0" collapsed="false">
      <c r="A126" s="4" t="s">
        <v>176</v>
      </c>
      <c r="B126" s="4" t="s">
        <v>162</v>
      </c>
      <c r="C126" s="4" t="s">
        <v>177</v>
      </c>
      <c r="D126" s="4" t="s">
        <v>7</v>
      </c>
      <c r="E126" s="4" t="s">
        <v>40</v>
      </c>
      <c r="F126" s="5" t="n">
        <v>603.38</v>
      </c>
      <c r="G126" s="11" t="n">
        <v>1.749</v>
      </c>
      <c r="H126" s="5" t="n">
        <f aca="false">ROUND(F126*G126,2)</f>
        <v>1055.31</v>
      </c>
      <c r="I126" s="11" t="n">
        <v>-176.187</v>
      </c>
      <c r="J126" s="5" t="n">
        <v>879.12</v>
      </c>
      <c r="K126" s="4" t="n">
        <v>10</v>
      </c>
      <c r="L126" s="5"/>
      <c r="M126" s="6" t="n">
        <f aca="false">IF(F126&gt;0,J126/F126,"")</f>
        <v>1.45699227684047</v>
      </c>
      <c r="N126" s="6" t="n">
        <f aca="false">IF(F126&gt;0,J126/F126/(1+K126/100),"")</f>
        <v>1.32453843349133</v>
      </c>
      <c r="O126" s="4" t="str">
        <f aca="false">IF(ABS(ROUND(F126*G126+I126,2)-J126)&lt;=0.025,"OK","CHECK")</f>
        <v>OK</v>
      </c>
      <c r="P126" s="4" t="str">
        <f aca="false">IF(F126=0,"promo line",IF(ABS(H126-F126*G126)&lt;=0.011,"OK","CHECK"))</f>
        <v>OK</v>
      </c>
    </row>
    <row r="127" customFormat="false" ht="15" hidden="false" customHeight="true" outlineLevel="0" collapsed="false">
      <c r="A127" s="4" t="s">
        <v>176</v>
      </c>
      <c r="B127" s="4" t="s">
        <v>102</v>
      </c>
      <c r="C127" s="4" t="s">
        <v>178</v>
      </c>
      <c r="D127" s="4" t="s">
        <v>6</v>
      </c>
      <c r="E127" s="4" t="s">
        <v>40</v>
      </c>
      <c r="F127" s="5" t="n">
        <v>244</v>
      </c>
      <c r="G127" s="11" t="n">
        <v>1.749</v>
      </c>
      <c r="H127" s="5" t="n">
        <f aca="false">ROUND(F127*G127,2)</f>
        <v>426.76</v>
      </c>
      <c r="I127" s="11" t="n">
        <v>-61.244</v>
      </c>
      <c r="J127" s="5" t="n">
        <v>365.52</v>
      </c>
      <c r="K127" s="4" t="n">
        <v>10</v>
      </c>
      <c r="L127" s="5"/>
      <c r="M127" s="6" t="n">
        <f aca="false">IF(F127&gt;0,J127/F127,"")</f>
        <v>1.49803278688525</v>
      </c>
      <c r="N127" s="6" t="n">
        <f aca="false">IF(F127&gt;0,J127/F127/(1+K127/100),"")</f>
        <v>1.3618479880775</v>
      </c>
      <c r="O127" s="4" t="str">
        <f aca="false">IF(ABS(ROUND(F127*G127+I127,2)-J127)&lt;=0.025,"OK","CHECK")</f>
        <v>OK</v>
      </c>
      <c r="P127" s="4" t="str">
        <f aca="false">IF(F127=0,"promo line",IF(ABS(H127-F127*G127)&lt;=0.011,"OK","CHECK"))</f>
        <v>OK</v>
      </c>
    </row>
    <row r="128" customFormat="false" ht="15" hidden="false" customHeight="true" outlineLevel="0" collapsed="false">
      <c r="A128" s="4" t="s">
        <v>176</v>
      </c>
      <c r="B128" s="4" t="s">
        <v>102</v>
      </c>
      <c r="C128" s="4" t="s">
        <v>178</v>
      </c>
      <c r="D128" s="4" t="s">
        <v>6</v>
      </c>
      <c r="E128" s="4" t="s">
        <v>41</v>
      </c>
      <c r="F128" s="5" t="n">
        <v>17</v>
      </c>
      <c r="G128" s="11" t="n">
        <v>0.995</v>
      </c>
      <c r="H128" s="5" t="n">
        <f aca="false">ROUND(F128*G128,2)</f>
        <v>16.92</v>
      </c>
      <c r="I128" s="11" t="n">
        <v>0</v>
      </c>
      <c r="J128" s="5" t="n">
        <v>16.92</v>
      </c>
      <c r="K128" s="4" t="n">
        <v>21</v>
      </c>
      <c r="L128" s="5"/>
      <c r="M128" s="6" t="n">
        <f aca="false">IF(F128&gt;0,J128/F128,"")</f>
        <v>0.995294117647059</v>
      </c>
      <c r="N128" s="6" t="n">
        <f aca="false">IF(F128&gt;0,J128/F128/(1+K128/100),"")</f>
        <v>0.822557122022363</v>
      </c>
      <c r="O128" s="4" t="str">
        <f aca="false">IF(ABS(ROUND(F128*G128+I128,2)-J128)&lt;=0.025,"OK","CHECK")</f>
        <v>OK</v>
      </c>
      <c r="P128" s="4" t="str">
        <f aca="false">IF(F128=0,"promo line",IF(ABS(H128-F128*G128)&lt;=0.011,"OK","CHECK"))</f>
        <v>OK</v>
      </c>
    </row>
    <row r="129" customFormat="false" ht="15" hidden="false" customHeight="true" outlineLevel="0" collapsed="false">
      <c r="A129" s="4" t="s">
        <v>179</v>
      </c>
      <c r="B129" s="4" t="s">
        <v>68</v>
      </c>
      <c r="C129" s="4" t="s">
        <v>86</v>
      </c>
      <c r="D129" s="4" t="s">
        <v>7</v>
      </c>
      <c r="E129" s="4" t="s">
        <v>41</v>
      </c>
      <c r="F129" s="5" t="n">
        <v>65.03</v>
      </c>
      <c r="G129" s="11" t="n">
        <v>0.995</v>
      </c>
      <c r="H129" s="5" t="n">
        <f aca="false">ROUND(F129*G129,2)</f>
        <v>64.7</v>
      </c>
      <c r="I129" s="11" t="n">
        <v>-31.475</v>
      </c>
      <c r="J129" s="5" t="n">
        <v>33.23</v>
      </c>
      <c r="K129" s="4" t="n">
        <v>21</v>
      </c>
      <c r="L129" s="5"/>
      <c r="M129" s="6" t="n">
        <f aca="false">IF(F129&gt;0,J129/F129,"")</f>
        <v>0.510994925419037</v>
      </c>
      <c r="N129" s="6" t="n">
        <f aca="false">IF(F129&gt;0,J129/F129/(1+K129/100),"")</f>
        <v>0.422309855718213</v>
      </c>
      <c r="O129" s="4" t="str">
        <f aca="false">IF(ABS(ROUND(F129*G129+I129,2)-J129)&lt;=0.025,"OK","CHECK")</f>
        <v>OK</v>
      </c>
      <c r="P129" s="4" t="str">
        <f aca="false">IF(F129=0,"promo line",IF(ABS(H129-F129*G129)&lt;=0.011,"OK","CHECK"))</f>
        <v>OK</v>
      </c>
    </row>
    <row r="130" customFormat="false" ht="15" hidden="false" customHeight="true" outlineLevel="0" collapsed="false">
      <c r="A130" s="4" t="s">
        <v>179</v>
      </c>
      <c r="B130" s="4" t="s">
        <v>68</v>
      </c>
      <c r="C130" s="4" t="s">
        <v>86</v>
      </c>
      <c r="D130" s="4" t="s">
        <v>7</v>
      </c>
      <c r="E130" s="4" t="s">
        <v>40</v>
      </c>
      <c r="F130" s="5" t="n">
        <v>863.11</v>
      </c>
      <c r="G130" s="11" t="n">
        <v>1.754</v>
      </c>
      <c r="H130" s="5" t="n">
        <f aca="false">ROUND(F130*G130,2)</f>
        <v>1513.89</v>
      </c>
      <c r="I130" s="11" t="n">
        <v>-252.891</v>
      </c>
      <c r="J130" s="5" t="n">
        <v>1261.01</v>
      </c>
      <c r="K130" s="4" t="n">
        <v>10</v>
      </c>
      <c r="L130" s="5"/>
      <c r="M130" s="6" t="n">
        <f aca="false">IF(F130&gt;0,J130/F130,"")</f>
        <v>1.46100728759949</v>
      </c>
      <c r="N130" s="6" t="n">
        <f aca="false">IF(F130&gt;0,J130/F130/(1+K130/100),"")</f>
        <v>1.32818844327227</v>
      </c>
      <c r="O130" s="4" t="str">
        <f aca="false">IF(ABS(ROUND(F130*G130+I130,2)-J130)&lt;=0.025,"OK","CHECK")</f>
        <v>OK</v>
      </c>
      <c r="P130" s="4" t="str">
        <f aca="false">IF(F130=0,"promo line",IF(ABS(H130-F130*G130)&lt;=0.011,"OK","CHECK"))</f>
        <v>OK</v>
      </c>
    </row>
    <row r="131" customFormat="false" ht="15" hidden="false" customHeight="true" outlineLevel="0" collapsed="false">
      <c r="A131" s="4" t="s">
        <v>179</v>
      </c>
      <c r="B131" s="4" t="s">
        <v>46</v>
      </c>
      <c r="C131" s="4" t="s">
        <v>180</v>
      </c>
      <c r="D131" s="4" t="s">
        <v>8</v>
      </c>
      <c r="E131" s="4" t="s">
        <v>41</v>
      </c>
      <c r="F131" s="5" t="n">
        <v>24.49</v>
      </c>
      <c r="G131" s="11" t="n">
        <v>0.899</v>
      </c>
      <c r="H131" s="5" t="n">
        <f aca="false">ROUND(F131*G131,2)</f>
        <v>22.02</v>
      </c>
      <c r="I131" s="11" t="n">
        <v>0</v>
      </c>
      <c r="J131" s="5" t="n">
        <v>22.02</v>
      </c>
      <c r="K131" s="4" t="n">
        <v>21</v>
      </c>
      <c r="L131" s="5"/>
      <c r="M131" s="6" t="n">
        <f aca="false">IF(F131&gt;0,J131/F131,"")</f>
        <v>0.899142507145774</v>
      </c>
      <c r="N131" s="6" t="n">
        <f aca="false">IF(F131&gt;0,J131/F131/(1+K131/100),"")</f>
        <v>0.74309298111221</v>
      </c>
      <c r="O131" s="4" t="str">
        <f aca="false">IF(ABS(ROUND(F131*G131+I131,2)-J131)&lt;=0.025,"OK","CHECK")</f>
        <v>OK</v>
      </c>
      <c r="P131" s="4" t="str">
        <f aca="false">IF(F131=0,"promo line",IF(ABS(H131-F131*G131)&lt;=0.011,"OK","CHECK"))</f>
        <v>OK</v>
      </c>
    </row>
    <row r="132" customFormat="false" ht="15" hidden="false" customHeight="true" outlineLevel="0" collapsed="false">
      <c r="A132" s="4" t="s">
        <v>179</v>
      </c>
      <c r="B132" s="4" t="s">
        <v>46</v>
      </c>
      <c r="C132" s="4" t="s">
        <v>180</v>
      </c>
      <c r="D132" s="4" t="s">
        <v>8</v>
      </c>
      <c r="E132" s="4" t="s">
        <v>40</v>
      </c>
      <c r="F132" s="5" t="n">
        <v>270</v>
      </c>
      <c r="G132" s="11" t="n">
        <v>1.799</v>
      </c>
      <c r="H132" s="5" t="n">
        <f aca="false">ROUND(F132*G132,2)</f>
        <v>485.73</v>
      </c>
      <c r="I132" s="11" t="n">
        <v>-63.45</v>
      </c>
      <c r="J132" s="5" t="n">
        <v>422.28</v>
      </c>
      <c r="K132" s="4" t="n">
        <v>10</v>
      </c>
      <c r="L132" s="5"/>
      <c r="M132" s="6" t="n">
        <f aca="false">IF(F132&gt;0,J132/F132,"")</f>
        <v>1.564</v>
      </c>
      <c r="N132" s="6" t="n">
        <f aca="false">IF(F132&gt;0,J132/F132/(1+K132/100),"")</f>
        <v>1.42181818181818</v>
      </c>
      <c r="O132" s="4" t="str">
        <f aca="false">IF(ABS(ROUND(F132*G132+I132,2)-J132)&lt;=0.025,"OK","CHECK")</f>
        <v>OK</v>
      </c>
      <c r="P132" s="4" t="str">
        <f aca="false">IF(F132=0,"promo line",IF(ABS(H132-F132*G132)&lt;=0.011,"OK","CHECK"))</f>
        <v>OK</v>
      </c>
    </row>
    <row r="134" customFormat="false" ht="15" hidden="false" customHeight="false" outlineLevel="0" collapsed="false">
      <c r="A134" s="12" t="s">
        <v>181</v>
      </c>
    </row>
  </sheetData>
  <autoFilter ref="A1:P13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17"/>
    <col collapsed="false" customWidth="true" hidden="false" outlineLevel="0" max="4" min="4" style="1" width="9"/>
    <col collapsed="false" customWidth="true" hidden="false" outlineLevel="0" max="5" min="5" style="1" width="18"/>
  </cols>
  <sheetData>
    <row r="1" customFormat="false" ht="21.75" hidden="false" customHeight="true" outlineLevel="0" collapsed="false">
      <c r="A1" s="13" t="s">
        <v>21</v>
      </c>
      <c r="B1" s="13" t="s">
        <v>182</v>
      </c>
      <c r="C1" s="13" t="s">
        <v>183</v>
      </c>
      <c r="D1" s="13" t="s">
        <v>184</v>
      </c>
      <c r="E1" s="13" t="s">
        <v>185</v>
      </c>
    </row>
    <row r="2" customFormat="false" ht="15" hidden="false" customHeight="true" outlineLevel="0" collapsed="false">
      <c r="A2" s="4" t="s">
        <v>37</v>
      </c>
      <c r="B2" s="5" t="n">
        <v>1044.15</v>
      </c>
      <c r="C2" s="5" t="n">
        <f aca="false">ROUND(SUMIF(Transactions!$A$2:$A$132,A2,Transactions!$J$2:$J$132),2)</f>
        <v>1044.15</v>
      </c>
      <c r="D2" s="5" t="n">
        <f aca="false">C2-B2</f>
        <v>0</v>
      </c>
      <c r="E2" s="4" t="str">
        <f aca="false">IF(ABS(D2)&lt;=0.03,"OK","CHECK")</f>
        <v>OK</v>
      </c>
    </row>
    <row r="3" customFormat="false" ht="15" hidden="false" customHeight="true" outlineLevel="0" collapsed="false">
      <c r="A3" s="4" t="s">
        <v>42</v>
      </c>
      <c r="B3" s="5" t="n">
        <v>1208.65</v>
      </c>
      <c r="C3" s="5" t="n">
        <f aca="false">ROUND(SUMIF(Transactions!$A$2:$A$132,A3,Transactions!$J$2:$J$132),2)</f>
        <v>1208.65</v>
      </c>
      <c r="D3" s="5" t="n">
        <f aca="false">C3-B3</f>
        <v>0</v>
      </c>
      <c r="E3" s="4" t="str">
        <f aca="false">IF(ABS(D3)&lt;=0.03,"OK","CHECK")</f>
        <v>OK</v>
      </c>
    </row>
    <row r="4" customFormat="false" ht="15" hidden="false" customHeight="true" outlineLevel="0" collapsed="false">
      <c r="A4" s="4" t="s">
        <v>45</v>
      </c>
      <c r="B4" s="5" t="n">
        <v>1056.29</v>
      </c>
      <c r="C4" s="5" t="n">
        <f aca="false">ROUND(SUMIF(Transactions!$A$2:$A$132,A4,Transactions!$J$2:$J$132),2)</f>
        <v>1056.29</v>
      </c>
      <c r="D4" s="5" t="n">
        <f aca="false">C4-B4</f>
        <v>0</v>
      </c>
      <c r="E4" s="4" t="str">
        <f aca="false">IF(ABS(D4)&lt;=0.03,"OK","CHECK")</f>
        <v>OK</v>
      </c>
    </row>
    <row r="5" customFormat="false" ht="15" hidden="false" customHeight="true" outlineLevel="0" collapsed="false">
      <c r="A5" s="4" t="s">
        <v>48</v>
      </c>
      <c r="B5" s="5" t="n">
        <v>1227.39</v>
      </c>
      <c r="C5" s="5" t="n">
        <f aca="false">ROUND(SUMIF(Transactions!$A$2:$A$132,A5,Transactions!$J$2:$J$132),2)</f>
        <v>1227.4</v>
      </c>
      <c r="D5" s="5" t="n">
        <f aca="false">C5-B5</f>
        <v>0.00999999999999091</v>
      </c>
      <c r="E5" s="4" t="str">
        <f aca="false">IF(ABS(D5)&lt;=0.03,"OK","CHECK")</f>
        <v>OK</v>
      </c>
    </row>
    <row r="6" customFormat="false" ht="15" hidden="false" customHeight="true" outlineLevel="0" collapsed="false">
      <c r="A6" s="4" t="s">
        <v>52</v>
      </c>
      <c r="B6" s="5" t="n">
        <v>1136.58</v>
      </c>
      <c r="C6" s="5" t="n">
        <f aca="false">ROUND(SUMIF(Transactions!$A$2:$A$132,A6,Transactions!$J$2:$J$132),2)</f>
        <v>1136.58</v>
      </c>
      <c r="D6" s="5" t="n">
        <f aca="false">C6-B6</f>
        <v>0</v>
      </c>
      <c r="E6" s="4" t="str">
        <f aca="false">IF(ABS(D6)&lt;=0.03,"OK","CHECK")</f>
        <v>OK</v>
      </c>
    </row>
    <row r="7" customFormat="false" ht="15" hidden="false" customHeight="true" outlineLevel="0" collapsed="false">
      <c r="A7" s="4" t="s">
        <v>54</v>
      </c>
      <c r="B7" s="5" t="n">
        <v>2178.25</v>
      </c>
      <c r="C7" s="5" t="n">
        <f aca="false">ROUND(SUMIF(Transactions!$A$2:$A$132,A7,Transactions!$J$2:$J$132),2)</f>
        <v>2178.24</v>
      </c>
      <c r="D7" s="5" t="n">
        <f aca="false">C7-B7</f>
        <v>-0.0100000000002183</v>
      </c>
      <c r="E7" s="4" t="str">
        <f aca="false">IF(ABS(D7)&lt;=0.03,"OK","CHECK")</f>
        <v>OK</v>
      </c>
    </row>
    <row r="8" customFormat="false" ht="15" hidden="false" customHeight="true" outlineLevel="0" collapsed="false">
      <c r="A8" s="4" t="s">
        <v>60</v>
      </c>
      <c r="B8" s="5" t="n">
        <v>833.09</v>
      </c>
      <c r="C8" s="5" t="n">
        <f aca="false">ROUND(SUMIF(Transactions!$A$2:$A$132,A8,Transactions!$J$2:$J$132),2)</f>
        <v>833.08</v>
      </c>
      <c r="D8" s="5" t="n">
        <f aca="false">C8-B8</f>
        <v>-0.00999999999999091</v>
      </c>
      <c r="E8" s="4" t="str">
        <f aca="false">IF(ABS(D8)&lt;=0.03,"OK","CHECK")</f>
        <v>OK</v>
      </c>
    </row>
    <row r="9" customFormat="false" ht="15" hidden="false" customHeight="true" outlineLevel="0" collapsed="false">
      <c r="A9" s="4" t="s">
        <v>63</v>
      </c>
      <c r="B9" s="5" t="n">
        <v>1473.28</v>
      </c>
      <c r="C9" s="5" t="n">
        <f aca="false">ROUND(SUMIF(Transactions!$A$2:$A$132,A9,Transactions!$J$2:$J$132),2)</f>
        <v>1473.28</v>
      </c>
      <c r="D9" s="5" t="n">
        <f aca="false">C9-B9</f>
        <v>0</v>
      </c>
      <c r="E9" s="4" t="str">
        <f aca="false">IF(ABS(D9)&lt;=0.03,"OK","CHECK")</f>
        <v>OK</v>
      </c>
    </row>
    <row r="10" customFormat="false" ht="15" hidden="false" customHeight="true" outlineLevel="0" collapsed="false">
      <c r="A10" s="4" t="s">
        <v>67</v>
      </c>
      <c r="B10" s="5" t="n">
        <v>1538.1</v>
      </c>
      <c r="C10" s="5" t="n">
        <f aca="false">ROUND(SUMIF(Transactions!$A$2:$A$132,A10,Transactions!$J$2:$J$132),2)</f>
        <v>1538.11</v>
      </c>
      <c r="D10" s="5" t="n">
        <f aca="false">C10-B10</f>
        <v>0.00999999999999091</v>
      </c>
      <c r="E10" s="4" t="str">
        <f aca="false">IF(ABS(D10)&lt;=0.03,"OK","CHECK")</f>
        <v>OK</v>
      </c>
    </row>
    <row r="11" customFormat="false" ht="15" hidden="false" customHeight="true" outlineLevel="0" collapsed="false">
      <c r="A11" s="4" t="s">
        <v>73</v>
      </c>
      <c r="B11" s="5" t="n">
        <v>812.78</v>
      </c>
      <c r="C11" s="5" t="n">
        <f aca="false">ROUND(SUMIF(Transactions!$A$2:$A$132,A11,Transactions!$J$2:$J$132),2)</f>
        <v>812.78</v>
      </c>
      <c r="D11" s="5" t="n">
        <f aca="false">C11-B11</f>
        <v>0</v>
      </c>
      <c r="E11" s="4" t="str">
        <f aca="false">IF(ABS(D11)&lt;=0.03,"OK","CHECK")</f>
        <v>OK</v>
      </c>
    </row>
    <row r="12" customFormat="false" ht="15" hidden="false" customHeight="true" outlineLevel="0" collapsed="false">
      <c r="A12" s="4" t="s">
        <v>75</v>
      </c>
      <c r="B12" s="5" t="n">
        <v>1057.5</v>
      </c>
      <c r="C12" s="5" t="n">
        <f aca="false">ROUND(SUMIF(Transactions!$A$2:$A$132,A12,Transactions!$J$2:$J$132),2)</f>
        <v>1057.5</v>
      </c>
      <c r="D12" s="5" t="n">
        <f aca="false">C12-B12</f>
        <v>0</v>
      </c>
      <c r="E12" s="4" t="str">
        <f aca="false">IF(ABS(D12)&lt;=0.03,"OK","CHECK")</f>
        <v>OK</v>
      </c>
    </row>
    <row r="13" customFormat="false" ht="15" hidden="false" customHeight="true" outlineLevel="0" collapsed="false">
      <c r="A13" s="4" t="s">
        <v>77</v>
      </c>
      <c r="B13" s="5" t="n">
        <v>859.3</v>
      </c>
      <c r="C13" s="5" t="n">
        <f aca="false">ROUND(SUMIF(Transactions!$A$2:$A$132,A13,Transactions!$J$2:$J$132),2)</f>
        <v>859.3</v>
      </c>
      <c r="D13" s="5" t="n">
        <f aca="false">C13-B13</f>
        <v>0</v>
      </c>
      <c r="E13" s="4" t="str">
        <f aca="false">IF(ABS(D13)&lt;=0.03,"OK","CHECK")</f>
        <v>OK</v>
      </c>
    </row>
    <row r="14" customFormat="false" ht="15" hidden="false" customHeight="true" outlineLevel="0" collapsed="false">
      <c r="A14" s="4" t="s">
        <v>79</v>
      </c>
      <c r="B14" s="5" t="n">
        <v>327.38</v>
      </c>
      <c r="C14" s="5" t="n">
        <f aca="false">ROUND(SUMIF(Transactions!$A$2:$A$132,A14,Transactions!$J$2:$J$132),2)</f>
        <v>327.37</v>
      </c>
      <c r="D14" s="5" t="n">
        <f aca="false">C14-B14</f>
        <v>-0.00999999999999091</v>
      </c>
      <c r="E14" s="4" t="str">
        <f aca="false">IF(ABS(D14)&lt;=0.03,"OK","CHECK")</f>
        <v>OK</v>
      </c>
    </row>
    <row r="15" customFormat="false" ht="15" hidden="false" customHeight="true" outlineLevel="0" collapsed="false">
      <c r="A15" s="4" t="s">
        <v>82</v>
      </c>
      <c r="B15" s="5" t="n">
        <v>1251.77</v>
      </c>
      <c r="C15" s="5" t="n">
        <f aca="false">ROUND(SUMIF(Transactions!$A$2:$A$132,A15,Transactions!$J$2:$J$132),2)</f>
        <v>1251.77</v>
      </c>
      <c r="D15" s="5" t="n">
        <f aca="false">C15-B15</f>
        <v>0</v>
      </c>
      <c r="E15" s="4" t="str">
        <f aca="false">IF(ABS(D15)&lt;=0.03,"OK","CHECK")</f>
        <v>OK</v>
      </c>
    </row>
    <row r="16" customFormat="false" ht="15" hidden="false" customHeight="true" outlineLevel="0" collapsed="false">
      <c r="A16" s="4" t="s">
        <v>85</v>
      </c>
      <c r="B16" s="5" t="n">
        <v>1357.67</v>
      </c>
      <c r="C16" s="5" t="n">
        <f aca="false">ROUND(SUMIF(Transactions!$A$2:$A$132,A16,Transactions!$J$2:$J$132),2)</f>
        <v>1357.67</v>
      </c>
      <c r="D16" s="5" t="n">
        <f aca="false">C16-B16</f>
        <v>0</v>
      </c>
      <c r="E16" s="4" t="str">
        <f aca="false">IF(ABS(D16)&lt;=0.03,"OK","CHECK")</f>
        <v>OK</v>
      </c>
    </row>
    <row r="17" customFormat="false" ht="15" hidden="false" customHeight="true" outlineLevel="0" collapsed="false">
      <c r="A17" s="4" t="s">
        <v>88</v>
      </c>
      <c r="B17" s="5" t="n">
        <v>1541.19</v>
      </c>
      <c r="C17" s="5" t="n">
        <f aca="false">ROUND(SUMIF(Transactions!$A$2:$A$132,A17,Transactions!$J$2:$J$132),2)</f>
        <v>1541.19</v>
      </c>
      <c r="D17" s="5" t="n">
        <f aca="false">C17-B17</f>
        <v>0</v>
      </c>
      <c r="E17" s="4" t="str">
        <f aca="false">IF(ABS(D17)&lt;=0.03,"OK","CHECK")</f>
        <v>OK</v>
      </c>
    </row>
    <row r="18" customFormat="false" ht="15" hidden="false" customHeight="true" outlineLevel="0" collapsed="false">
      <c r="A18" s="4" t="s">
        <v>92</v>
      </c>
      <c r="B18" s="5" t="n">
        <v>1338.66</v>
      </c>
      <c r="C18" s="5" t="n">
        <f aca="false">ROUND(SUMIF(Transactions!$A$2:$A$132,A18,Transactions!$J$2:$J$132),2)</f>
        <v>1338.66</v>
      </c>
      <c r="D18" s="5" t="n">
        <f aca="false">C18-B18</f>
        <v>0</v>
      </c>
      <c r="E18" s="4" t="str">
        <f aca="false">IF(ABS(D18)&lt;=0.03,"OK","CHECK")</f>
        <v>OK</v>
      </c>
    </row>
    <row r="19" customFormat="false" ht="15" hidden="false" customHeight="true" outlineLevel="0" collapsed="false">
      <c r="A19" s="4" t="s">
        <v>94</v>
      </c>
      <c r="B19" s="5" t="n">
        <v>517.92</v>
      </c>
      <c r="C19" s="5" t="n">
        <f aca="false">ROUND(SUMIF(Transactions!$A$2:$A$132,A19,Transactions!$J$2:$J$132),2)</f>
        <v>517.92</v>
      </c>
      <c r="D19" s="5" t="n">
        <f aca="false">C19-B19</f>
        <v>0</v>
      </c>
      <c r="E19" s="4" t="str">
        <f aca="false">IF(ABS(D19)&lt;=0.03,"OK","CHECK")</f>
        <v>OK</v>
      </c>
    </row>
    <row r="20" customFormat="false" ht="15" hidden="false" customHeight="true" outlineLevel="0" collapsed="false">
      <c r="A20" s="4" t="s">
        <v>96</v>
      </c>
      <c r="B20" s="5" t="n">
        <v>2152.22</v>
      </c>
      <c r="C20" s="5" t="n">
        <f aca="false">ROUND(SUMIF(Transactions!$A$2:$A$132,A20,Transactions!$J$2:$J$132),2)</f>
        <v>2152.22</v>
      </c>
      <c r="D20" s="5" t="n">
        <f aca="false">C20-B20</f>
        <v>0</v>
      </c>
      <c r="E20" s="4" t="str">
        <f aca="false">IF(ABS(D20)&lt;=0.03,"OK","CHECK")</f>
        <v>OK</v>
      </c>
    </row>
    <row r="21" customFormat="false" ht="15" hidden="false" customHeight="true" outlineLevel="0" collapsed="false">
      <c r="A21" s="4" t="s">
        <v>99</v>
      </c>
      <c r="B21" s="5" t="n">
        <v>476.65</v>
      </c>
      <c r="C21" s="5" t="n">
        <f aca="false">ROUND(SUMIF(Transactions!$A$2:$A$132,A21,Transactions!$J$2:$J$132),2)</f>
        <v>476.65</v>
      </c>
      <c r="D21" s="5" t="n">
        <f aca="false">C21-B21</f>
        <v>0</v>
      </c>
      <c r="E21" s="4" t="str">
        <f aca="false">IF(ABS(D21)&lt;=0.03,"OK","CHECK")</f>
        <v>OK</v>
      </c>
    </row>
    <row r="22" customFormat="false" ht="15" hidden="false" customHeight="true" outlineLevel="0" collapsed="false">
      <c r="A22" s="4" t="s">
        <v>101</v>
      </c>
      <c r="B22" s="5" t="n">
        <v>1361.97</v>
      </c>
      <c r="C22" s="5" t="n">
        <f aca="false">ROUND(SUMIF(Transactions!$A$2:$A$132,A22,Transactions!$J$2:$J$132),2)</f>
        <v>1361.97</v>
      </c>
      <c r="D22" s="5" t="n">
        <f aca="false">C22-B22</f>
        <v>0</v>
      </c>
      <c r="E22" s="4" t="str">
        <f aca="false">IF(ABS(D22)&lt;=0.03,"OK","CHECK")</f>
        <v>OK</v>
      </c>
    </row>
    <row r="23" customFormat="false" ht="15" hidden="false" customHeight="true" outlineLevel="0" collapsed="false">
      <c r="A23" s="4" t="s">
        <v>105</v>
      </c>
      <c r="B23" s="5" t="n">
        <v>609.3</v>
      </c>
      <c r="C23" s="5" t="n">
        <f aca="false">ROUND(SUMIF(Transactions!$A$2:$A$132,A23,Transactions!$J$2:$J$132),2)</f>
        <v>609.29</v>
      </c>
      <c r="D23" s="5" t="n">
        <f aca="false">C23-B23</f>
        <v>-0.00999999999999091</v>
      </c>
      <c r="E23" s="4" t="str">
        <f aca="false">IF(ABS(D23)&lt;=0.03,"OK","CHECK")</f>
        <v>OK</v>
      </c>
    </row>
    <row r="24" customFormat="false" ht="15" hidden="false" customHeight="true" outlineLevel="0" collapsed="false">
      <c r="A24" s="4" t="s">
        <v>108</v>
      </c>
      <c r="B24" s="5" t="n">
        <v>877.25</v>
      </c>
      <c r="C24" s="5" t="n">
        <f aca="false">ROUND(SUMIF(Transactions!$A$2:$A$132,A24,Transactions!$J$2:$J$132),2)</f>
        <v>877.25</v>
      </c>
      <c r="D24" s="5" t="n">
        <f aca="false">C24-B24</f>
        <v>0</v>
      </c>
      <c r="E24" s="4" t="str">
        <f aca="false">IF(ABS(D24)&lt;=0.03,"OK","CHECK")</f>
        <v>OK</v>
      </c>
    </row>
    <row r="25" customFormat="false" ht="15" hidden="false" customHeight="true" outlineLevel="0" collapsed="false">
      <c r="A25" s="4" t="s">
        <v>109</v>
      </c>
      <c r="B25" s="5" t="n">
        <v>1090.12</v>
      </c>
      <c r="C25" s="5" t="n">
        <f aca="false">ROUND(SUMIF(Transactions!$A$2:$A$132,A25,Transactions!$J$2:$J$132),2)</f>
        <v>1090.12</v>
      </c>
      <c r="D25" s="5" t="n">
        <f aca="false">C25-B25</f>
        <v>0</v>
      </c>
      <c r="E25" s="4" t="str">
        <f aca="false">IF(ABS(D25)&lt;=0.03,"OK","CHECK")</f>
        <v>OK</v>
      </c>
    </row>
    <row r="26" customFormat="false" ht="15" hidden="false" customHeight="true" outlineLevel="0" collapsed="false">
      <c r="A26" s="4" t="s">
        <v>112</v>
      </c>
      <c r="B26" s="5" t="n">
        <v>1205.17</v>
      </c>
      <c r="C26" s="5" t="n">
        <f aca="false">ROUND(SUMIF(Transactions!$A$2:$A$132,A26,Transactions!$J$2:$J$132),2)</f>
        <v>1205.17</v>
      </c>
      <c r="D26" s="5" t="n">
        <f aca="false">C26-B26</f>
        <v>0</v>
      </c>
      <c r="E26" s="4" t="str">
        <f aca="false">IF(ABS(D26)&lt;=0.03,"OK","CHECK")</f>
        <v>OK</v>
      </c>
    </row>
    <row r="27" customFormat="false" ht="15" hidden="false" customHeight="true" outlineLevel="0" collapsed="false">
      <c r="A27" s="4" t="s">
        <v>114</v>
      </c>
      <c r="B27" s="5" t="n">
        <v>1508.17</v>
      </c>
      <c r="C27" s="5" t="n">
        <f aca="false">ROUND(SUMIF(Transactions!$A$2:$A$132,A27,Transactions!$J$2:$J$132),2)</f>
        <v>1508.17</v>
      </c>
      <c r="D27" s="5" t="n">
        <f aca="false">C27-B27</f>
        <v>0</v>
      </c>
      <c r="E27" s="4" t="str">
        <f aca="false">IF(ABS(D27)&lt;=0.03,"OK","CHECK")</f>
        <v>OK</v>
      </c>
    </row>
    <row r="28" customFormat="false" ht="15" hidden="false" customHeight="true" outlineLevel="0" collapsed="false">
      <c r="A28" s="4" t="s">
        <v>117</v>
      </c>
      <c r="B28" s="5" t="n">
        <v>866.15</v>
      </c>
      <c r="C28" s="5" t="n">
        <f aca="false">ROUND(SUMIF(Transactions!$A$2:$A$132,A28,Transactions!$J$2:$J$132),2)</f>
        <v>866.16</v>
      </c>
      <c r="D28" s="5" t="n">
        <f aca="false">C28-B28</f>
        <v>0.00999999999999091</v>
      </c>
      <c r="E28" s="4" t="str">
        <f aca="false">IF(ABS(D28)&lt;=0.03,"OK","CHECK")</f>
        <v>OK</v>
      </c>
    </row>
    <row r="29" customFormat="false" ht="15" hidden="false" customHeight="true" outlineLevel="0" collapsed="false">
      <c r="A29" s="4" t="s">
        <v>120</v>
      </c>
      <c r="B29" s="5" t="n">
        <v>1122.05</v>
      </c>
      <c r="C29" s="5" t="n">
        <f aca="false">ROUND(SUMIF(Transactions!$A$2:$A$132,A29,Transactions!$J$2:$J$132),2)</f>
        <v>1122.05</v>
      </c>
      <c r="D29" s="5" t="n">
        <f aca="false">C29-B29</f>
        <v>0</v>
      </c>
      <c r="E29" s="4" t="str">
        <f aca="false">IF(ABS(D29)&lt;=0.03,"OK","CHECK")</f>
        <v>OK</v>
      </c>
    </row>
    <row r="30" customFormat="false" ht="15" hidden="false" customHeight="true" outlineLevel="0" collapsed="false">
      <c r="A30" s="4" t="s">
        <v>122</v>
      </c>
      <c r="B30" s="5" t="n">
        <v>1263.22</v>
      </c>
      <c r="C30" s="5" t="n">
        <f aca="false">ROUND(SUMIF(Transactions!$A$2:$A$132,A30,Transactions!$J$2:$J$132),2)</f>
        <v>1263.21</v>
      </c>
      <c r="D30" s="5" t="n">
        <f aca="false">C30-B30</f>
        <v>-0.00999999999999091</v>
      </c>
      <c r="E30" s="4" t="str">
        <f aca="false">IF(ABS(D30)&lt;=0.03,"OK","CHECK")</f>
        <v>OK</v>
      </c>
    </row>
    <row r="31" customFormat="false" ht="15" hidden="false" customHeight="true" outlineLevel="0" collapsed="false">
      <c r="A31" s="4" t="s">
        <v>125</v>
      </c>
      <c r="B31" s="5" t="n">
        <v>814.92</v>
      </c>
      <c r="C31" s="5" t="n">
        <f aca="false">ROUND(SUMIF(Transactions!$A$2:$A$132,A31,Transactions!$J$2:$J$132),2)</f>
        <v>814.92</v>
      </c>
      <c r="D31" s="5" t="n">
        <f aca="false">C31-B31</f>
        <v>0</v>
      </c>
      <c r="E31" s="4" t="str">
        <f aca="false">IF(ABS(D31)&lt;=0.03,"OK","CHECK")</f>
        <v>OK</v>
      </c>
    </row>
    <row r="32" customFormat="false" ht="15" hidden="false" customHeight="true" outlineLevel="0" collapsed="false">
      <c r="A32" s="4" t="s">
        <v>127</v>
      </c>
      <c r="B32" s="5" t="n">
        <v>1730.12</v>
      </c>
      <c r="C32" s="5" t="n">
        <f aca="false">ROUND(SUMIF(Transactions!$A$2:$A$132,A32,Transactions!$J$2:$J$132),2)</f>
        <v>1730.12</v>
      </c>
      <c r="D32" s="5" t="n">
        <f aca="false">C32-B32</f>
        <v>0</v>
      </c>
      <c r="E32" s="4" t="str">
        <f aca="false">IF(ABS(D32)&lt;=0.03,"OK","CHECK")</f>
        <v>OK</v>
      </c>
    </row>
    <row r="33" customFormat="false" ht="15" hidden="false" customHeight="true" outlineLevel="0" collapsed="false">
      <c r="A33" s="4" t="s">
        <v>130</v>
      </c>
      <c r="B33" s="5" t="n">
        <v>2041.38</v>
      </c>
      <c r="C33" s="5" t="n">
        <f aca="false">ROUND(SUMIF(Transactions!$A$2:$A$132,A33,Transactions!$J$2:$J$132),2)</f>
        <v>2041.38</v>
      </c>
      <c r="D33" s="5" t="n">
        <f aca="false">C33-B33</f>
        <v>0</v>
      </c>
      <c r="E33" s="4" t="str">
        <f aca="false">IF(ABS(D33)&lt;=0.03,"OK","CHECK")</f>
        <v>OK</v>
      </c>
    </row>
    <row r="34" customFormat="false" ht="15" hidden="false" customHeight="true" outlineLevel="0" collapsed="false">
      <c r="A34" s="4" t="s">
        <v>134</v>
      </c>
      <c r="B34" s="5" t="n">
        <v>1837.32</v>
      </c>
      <c r="C34" s="5" t="n">
        <f aca="false">ROUND(SUMIF(Transactions!$A$2:$A$132,A34,Transactions!$J$2:$J$132),2)</f>
        <v>1837.32</v>
      </c>
      <c r="D34" s="5" t="n">
        <f aca="false">C34-B34</f>
        <v>0</v>
      </c>
      <c r="E34" s="4" t="str">
        <f aca="false">IF(ABS(D34)&lt;=0.03,"OK","CHECK")</f>
        <v>OK</v>
      </c>
    </row>
    <row r="35" customFormat="false" ht="15" hidden="false" customHeight="true" outlineLevel="0" collapsed="false">
      <c r="A35" s="4" t="s">
        <v>138</v>
      </c>
      <c r="B35" s="5" t="n">
        <v>1142.66</v>
      </c>
      <c r="C35" s="5" t="n">
        <f aca="false">ROUND(SUMIF(Transactions!$A$2:$A$132,A35,Transactions!$J$2:$J$132),2)</f>
        <v>1142.66</v>
      </c>
      <c r="D35" s="5" t="n">
        <f aca="false">C35-B35</f>
        <v>0</v>
      </c>
      <c r="E35" s="4" t="str">
        <f aca="false">IF(ABS(D35)&lt;=0.03,"OK","CHECK")</f>
        <v>OK</v>
      </c>
    </row>
    <row r="36" customFormat="false" ht="15" hidden="false" customHeight="true" outlineLevel="0" collapsed="false">
      <c r="A36" s="4" t="s">
        <v>140</v>
      </c>
      <c r="B36" s="5" t="n">
        <v>17.91</v>
      </c>
      <c r="C36" s="5" t="n">
        <f aca="false">ROUND(SUMIF(Transactions!$A$2:$A$132,A36,Transactions!$J$2:$J$132),2)</f>
        <v>17.91</v>
      </c>
      <c r="D36" s="5" t="n">
        <f aca="false">C36-B36</f>
        <v>0</v>
      </c>
      <c r="E36" s="4" t="str">
        <f aca="false">IF(ABS(D36)&lt;=0.03,"OK","CHECK")</f>
        <v>OK</v>
      </c>
    </row>
    <row r="37" customFormat="false" ht="15" hidden="false" customHeight="true" outlineLevel="0" collapsed="false">
      <c r="A37" s="4" t="s">
        <v>142</v>
      </c>
      <c r="B37" s="5" t="n">
        <v>522.01</v>
      </c>
      <c r="C37" s="5" t="n">
        <f aca="false">ROUND(SUMIF(Transactions!$A$2:$A$132,A37,Transactions!$J$2:$J$132),2)</f>
        <v>522.01</v>
      </c>
      <c r="D37" s="5" t="n">
        <f aca="false">C37-B37</f>
        <v>0</v>
      </c>
      <c r="E37" s="4" t="str">
        <f aca="false">IF(ABS(D37)&lt;=0.03,"OK","CHECK")</f>
        <v>OK</v>
      </c>
    </row>
    <row r="38" customFormat="false" ht="15" hidden="false" customHeight="true" outlineLevel="0" collapsed="false">
      <c r="A38" s="4" t="s">
        <v>144</v>
      </c>
      <c r="B38" s="5" t="n">
        <v>2209.93</v>
      </c>
      <c r="C38" s="5" t="n">
        <f aca="false">ROUND(SUMIF(Transactions!$A$2:$A$132,A38,Transactions!$J$2:$J$132),2)</f>
        <v>2209.93</v>
      </c>
      <c r="D38" s="5" t="n">
        <f aca="false">C38-B38</f>
        <v>0</v>
      </c>
      <c r="E38" s="4" t="str">
        <f aca="false">IF(ABS(D38)&lt;=0.03,"OK","CHECK")</f>
        <v>OK</v>
      </c>
    </row>
    <row r="39" customFormat="false" ht="15" hidden="false" customHeight="true" outlineLevel="0" collapsed="false">
      <c r="A39" s="4" t="s">
        <v>147</v>
      </c>
      <c r="B39" s="5" t="n">
        <v>1170.38</v>
      </c>
      <c r="C39" s="5" t="n">
        <f aca="false">ROUND(SUMIF(Transactions!$A$2:$A$132,A39,Transactions!$J$2:$J$132),2)</f>
        <v>1170.38</v>
      </c>
      <c r="D39" s="5" t="n">
        <f aca="false">C39-B39</f>
        <v>0</v>
      </c>
      <c r="E39" s="4" t="str">
        <f aca="false">IF(ABS(D39)&lt;=0.03,"OK","CHECK")</f>
        <v>OK</v>
      </c>
    </row>
    <row r="40" customFormat="false" ht="15" hidden="false" customHeight="true" outlineLevel="0" collapsed="false">
      <c r="A40" s="4" t="s">
        <v>149</v>
      </c>
      <c r="B40" s="5" t="n">
        <v>862.63</v>
      </c>
      <c r="C40" s="5" t="n">
        <f aca="false">ROUND(SUMIF(Transactions!$A$2:$A$132,A40,Transactions!$J$2:$J$132),2)</f>
        <v>862.63</v>
      </c>
      <c r="D40" s="5" t="n">
        <f aca="false">C40-B40</f>
        <v>0</v>
      </c>
      <c r="E40" s="4" t="str">
        <f aca="false">IF(ABS(D40)&lt;=0.03,"OK","CHECK")</f>
        <v>OK</v>
      </c>
    </row>
    <row r="41" customFormat="false" ht="15" hidden="false" customHeight="true" outlineLevel="0" collapsed="false">
      <c r="A41" s="4" t="s">
        <v>151</v>
      </c>
      <c r="B41" s="5" t="n">
        <v>1602.05</v>
      </c>
      <c r="C41" s="5" t="n">
        <f aca="false">ROUND(SUMIF(Transactions!$A$2:$A$132,A41,Transactions!$J$2:$J$132),2)</f>
        <v>1602.05</v>
      </c>
      <c r="D41" s="5" t="n">
        <f aca="false">C41-B41</f>
        <v>0</v>
      </c>
      <c r="E41" s="4" t="str">
        <f aca="false">IF(ABS(D41)&lt;=0.03,"OK","CHECK")</f>
        <v>OK</v>
      </c>
    </row>
    <row r="42" customFormat="false" ht="15" hidden="false" customHeight="true" outlineLevel="0" collapsed="false">
      <c r="A42" s="4" t="s">
        <v>153</v>
      </c>
      <c r="B42" s="5" t="n">
        <v>1031.6</v>
      </c>
      <c r="C42" s="5" t="n">
        <f aca="false">ROUND(SUMIF(Transactions!$A$2:$A$132,A42,Transactions!$J$2:$J$132),2)</f>
        <v>1031.6</v>
      </c>
      <c r="D42" s="5" t="n">
        <f aca="false">C42-B42</f>
        <v>0</v>
      </c>
      <c r="E42" s="4" t="str">
        <f aca="false">IF(ABS(D42)&lt;=0.03,"OK","CHECK")</f>
        <v>OK</v>
      </c>
    </row>
    <row r="43" customFormat="false" ht="15" hidden="false" customHeight="true" outlineLevel="0" collapsed="false">
      <c r="A43" s="4" t="s">
        <v>155</v>
      </c>
      <c r="B43" s="5" t="n">
        <v>880.66</v>
      </c>
      <c r="C43" s="5" t="n">
        <f aca="false">ROUND(SUMIF(Transactions!$A$2:$A$132,A43,Transactions!$J$2:$J$132),2)</f>
        <v>880.67</v>
      </c>
      <c r="D43" s="5" t="n">
        <f aca="false">C43-B43</f>
        <v>0.00999999999999091</v>
      </c>
      <c r="E43" s="4" t="str">
        <f aca="false">IF(ABS(D43)&lt;=0.03,"OK","CHECK")</f>
        <v>OK</v>
      </c>
    </row>
    <row r="44" customFormat="false" ht="15" hidden="false" customHeight="true" outlineLevel="0" collapsed="false">
      <c r="A44" s="4" t="s">
        <v>157</v>
      </c>
      <c r="B44" s="5" t="n">
        <v>680.17</v>
      </c>
      <c r="C44" s="5" t="n">
        <f aca="false">ROUND(SUMIF(Transactions!$A$2:$A$132,A44,Transactions!$J$2:$J$132),2)</f>
        <v>680.17</v>
      </c>
      <c r="D44" s="5" t="n">
        <f aca="false">C44-B44</f>
        <v>0</v>
      </c>
      <c r="E44" s="4" t="str">
        <f aca="false">IF(ABS(D44)&lt;=0.03,"OK","CHECK")</f>
        <v>OK</v>
      </c>
    </row>
    <row r="45" customFormat="false" ht="15" hidden="false" customHeight="true" outlineLevel="0" collapsed="false">
      <c r="A45" s="4" t="s">
        <v>159</v>
      </c>
      <c r="B45" s="5" t="n">
        <v>1314.74</v>
      </c>
      <c r="C45" s="5" t="n">
        <f aca="false">ROUND(SUMIF(Transactions!$A$2:$A$132,A45,Transactions!$J$2:$J$132),2)</f>
        <v>1314.74</v>
      </c>
      <c r="D45" s="5" t="n">
        <f aca="false">C45-B45</f>
        <v>0</v>
      </c>
      <c r="E45" s="4" t="str">
        <f aca="false">IF(ABS(D45)&lt;=0.03,"OK","CHECK")</f>
        <v>OK</v>
      </c>
    </row>
    <row r="46" customFormat="false" ht="15" hidden="false" customHeight="true" outlineLevel="0" collapsed="false">
      <c r="A46" s="4" t="s">
        <v>161</v>
      </c>
      <c r="B46" s="5" t="n">
        <v>588.51</v>
      </c>
      <c r="C46" s="5" t="n">
        <f aca="false">ROUND(SUMIF(Transactions!$A$2:$A$132,A46,Transactions!$J$2:$J$132),2)</f>
        <v>588.51</v>
      </c>
      <c r="D46" s="5" t="n">
        <f aca="false">C46-B46</f>
        <v>0</v>
      </c>
      <c r="E46" s="4" t="str">
        <f aca="false">IF(ABS(D46)&lt;=0.03,"OK","CHECK")</f>
        <v>OK</v>
      </c>
    </row>
    <row r="47" customFormat="false" ht="15" hidden="false" customHeight="true" outlineLevel="0" collapsed="false">
      <c r="A47" s="4" t="s">
        <v>164</v>
      </c>
      <c r="B47" s="5" t="n">
        <v>1917.06</v>
      </c>
      <c r="C47" s="5" t="n">
        <f aca="false">ROUND(SUMIF(Transactions!$A$2:$A$132,A47,Transactions!$J$2:$J$132),2)</f>
        <v>1917.07</v>
      </c>
      <c r="D47" s="5" t="n">
        <f aca="false">C47-B47</f>
        <v>0.00999999999999091</v>
      </c>
      <c r="E47" s="4" t="str">
        <f aca="false">IF(ABS(D47)&lt;=0.03,"OK","CHECK")</f>
        <v>OK</v>
      </c>
    </row>
    <row r="48" customFormat="false" ht="15" hidden="false" customHeight="true" outlineLevel="0" collapsed="false">
      <c r="A48" s="4" t="s">
        <v>167</v>
      </c>
      <c r="B48" s="5" t="n">
        <v>1446.48</v>
      </c>
      <c r="C48" s="5" t="n">
        <f aca="false">ROUND(SUMIF(Transactions!$A$2:$A$132,A48,Transactions!$J$2:$J$132),2)</f>
        <v>1446.48</v>
      </c>
      <c r="D48" s="5" t="n">
        <f aca="false">C48-B48</f>
        <v>0</v>
      </c>
      <c r="E48" s="4" t="str">
        <f aca="false">IF(ABS(D48)&lt;=0.03,"OK","CHECK")</f>
        <v>OK</v>
      </c>
    </row>
    <row r="49" customFormat="false" ht="15" hidden="false" customHeight="true" outlineLevel="0" collapsed="false">
      <c r="A49" s="4" t="s">
        <v>170</v>
      </c>
      <c r="B49" s="5" t="n">
        <v>1694.12</v>
      </c>
      <c r="C49" s="5" t="n">
        <f aca="false">ROUND(SUMIF(Transactions!$A$2:$A$132,A49,Transactions!$J$2:$J$132),2)</f>
        <v>1694.11</v>
      </c>
      <c r="D49" s="5" t="n">
        <f aca="false">C49-B49</f>
        <v>-0.00999999999999091</v>
      </c>
      <c r="E49" s="4" t="str">
        <f aca="false">IF(ABS(D49)&lt;=0.03,"OK","CHECK")</f>
        <v>OK</v>
      </c>
    </row>
    <row r="50" customFormat="false" ht="15" hidden="false" customHeight="true" outlineLevel="0" collapsed="false">
      <c r="A50" s="4" t="s">
        <v>173</v>
      </c>
      <c r="B50" s="5" t="n">
        <v>1465.38</v>
      </c>
      <c r="C50" s="5" t="n">
        <f aca="false">ROUND(SUMIF(Transactions!$A$2:$A$132,A50,Transactions!$J$2:$J$132),2)</f>
        <v>1465.38</v>
      </c>
      <c r="D50" s="5" t="n">
        <f aca="false">C50-B50</f>
        <v>0</v>
      </c>
      <c r="E50" s="4" t="str">
        <f aca="false">IF(ABS(D50)&lt;=0.03,"OK","CHECK")</f>
        <v>OK</v>
      </c>
    </row>
    <row r="51" customFormat="false" ht="15" hidden="false" customHeight="true" outlineLevel="0" collapsed="false">
      <c r="A51" s="4" t="s">
        <v>176</v>
      </c>
      <c r="B51" s="5" t="n">
        <v>1296.39</v>
      </c>
      <c r="C51" s="5" t="n">
        <f aca="false">ROUND(SUMIF(Transactions!$A$2:$A$132,A51,Transactions!$J$2:$J$132),2)</f>
        <v>1296.4</v>
      </c>
      <c r="D51" s="5" t="n">
        <f aca="false">C51-B51</f>
        <v>0.00999999999999091</v>
      </c>
      <c r="E51" s="4" t="str">
        <f aca="false">IF(ABS(D51)&lt;=0.03,"OK","CHECK")</f>
        <v>OK</v>
      </c>
    </row>
    <row r="52" customFormat="false" ht="15" hidden="false" customHeight="true" outlineLevel="0" collapsed="false">
      <c r="A52" s="4" t="s">
        <v>179</v>
      </c>
      <c r="B52" s="5" t="n">
        <v>1738.53</v>
      </c>
      <c r="C52" s="5" t="n">
        <f aca="false">ROUND(SUMIF(Transactions!$A$2:$A$132,A52,Transactions!$J$2:$J$132),2)</f>
        <v>1738.54</v>
      </c>
      <c r="D52" s="5" t="n">
        <f aca="false">C52-B52</f>
        <v>0.00999999999999091</v>
      </c>
      <c r="E52" s="4" t="str">
        <f aca="false">IF(ABS(D52)&lt;=0.03,"OK","CHECK")</f>
        <v>OK</v>
      </c>
    </row>
    <row r="53" customFormat="false" ht="15" hidden="false" customHeight="true" outlineLevel="0" collapsed="false">
      <c r="A53" s="7" t="s">
        <v>186</v>
      </c>
      <c r="B53" s="8" t="n">
        <f aca="false">SUM(B2:B52)</f>
        <v>61297.17</v>
      </c>
      <c r="C53" s="8" t="n">
        <f aca="false">SUM(C2:C52)</f>
        <v>61297.18</v>
      </c>
      <c r="D53" s="8" t="n">
        <f aca="false">C53-B53</f>
        <v>0.0100000000020373</v>
      </c>
      <c r="E53" s="7" t="str">
        <f aca="false">IF(ABS(D53)&lt;=0.05,"OK","CHECK")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9"/>
    <col collapsed="false" customWidth="true" hidden="false" outlineLevel="0" max="5" min="5" style="1" width="8"/>
    <col collapsed="false" customWidth="true" hidden="false" outlineLevel="0" max="6" min="6" style="1" width="26"/>
  </cols>
  <sheetData>
    <row r="1" customFormat="false" ht="21.75" hidden="false" customHeight="true" outlineLevel="0" collapsed="false">
      <c r="A1" s="13" t="s">
        <v>187</v>
      </c>
      <c r="B1" s="13" t="s">
        <v>188</v>
      </c>
      <c r="C1" s="13" t="s">
        <v>189</v>
      </c>
      <c r="D1" s="13" t="s">
        <v>184</v>
      </c>
      <c r="E1" s="13" t="s">
        <v>190</v>
      </c>
      <c r="F1" s="13" t="s">
        <v>191</v>
      </c>
    </row>
    <row r="2" customFormat="false" ht="15" hidden="false" customHeight="true" outlineLevel="0" collapsed="false">
      <c r="A2" s="4" t="s">
        <v>192</v>
      </c>
      <c r="B2" s="5" t="n">
        <v>38880.25</v>
      </c>
      <c r="C2" s="5" t="n">
        <f aca="false">ROUND(SUMIF(Transactions!$E$2:$E$132,"DIESEL STAR",Transactions!$F$2:$F$132),2)</f>
        <v>38880.25</v>
      </c>
      <c r="D2" s="5" t="n">
        <f aca="false">C2-B2</f>
        <v>0</v>
      </c>
      <c r="E2" s="4" t="str">
        <f aca="false">IF(ABS(D2)&lt;=0.01,"OK","CHECK")</f>
        <v>OK</v>
      </c>
      <c r="F2" s="10"/>
    </row>
    <row r="3" customFormat="false" ht="15" hidden="false" customHeight="true" outlineLevel="0" collapsed="false">
      <c r="A3" s="4" t="s">
        <v>193</v>
      </c>
      <c r="B3" s="5" t="n">
        <v>68786.96</v>
      </c>
      <c r="C3" s="5" t="n">
        <f aca="false">ROUND(SUMIF(Transactions!$E$2:$E$132,"DIESEL STAR",Transactions!$H$2:$H$132),2)</f>
        <v>68786.93</v>
      </c>
      <c r="D3" s="5" t="n">
        <f aca="false">C3-B3</f>
        <v>-0.0300000000133878</v>
      </c>
      <c r="E3" s="4" t="str">
        <f aca="false">IF(ABS(D3)&lt;=0.05,"OK","CHECK")</f>
        <v>OK</v>
      </c>
      <c r="F3" s="10" t="s">
        <v>194</v>
      </c>
    </row>
    <row r="4" customFormat="false" ht="15" hidden="false" customHeight="true" outlineLevel="0" collapsed="false">
      <c r="A4" s="4" t="s">
        <v>195</v>
      </c>
      <c r="B4" s="5" t="n">
        <v>58008.86</v>
      </c>
      <c r="C4" s="5" t="n">
        <f aca="false">ROUND(SUMIF(Transactions!$E$2:$E$132,"DIESEL STAR",Transactions!$J$2:$J$132),2)</f>
        <v>58008.87</v>
      </c>
      <c r="D4" s="5" t="n">
        <f aca="false">C4-B4</f>
        <v>0.0100000000020373</v>
      </c>
      <c r="E4" s="4" t="str">
        <f aca="false">IF(ABS(D4)&lt;=0.05,"OK","CHECK")</f>
        <v>OK</v>
      </c>
      <c r="F4" s="10" t="s">
        <v>194</v>
      </c>
    </row>
    <row r="5" customFormat="false" ht="15" hidden="false" customHeight="true" outlineLevel="0" collapsed="false">
      <c r="A5" s="4" t="s">
        <v>196</v>
      </c>
      <c r="B5" s="5" t="n">
        <v>1546.28</v>
      </c>
      <c r="C5" s="5" t="n">
        <f aca="false">ROUND(SUMIF(Transactions!$E$2:$E$132,"GASOLEO A",Transactions!$F$2:$F$132),2)</f>
        <v>1546.28</v>
      </c>
      <c r="D5" s="5" t="n">
        <f aca="false">C5-B5</f>
        <v>0</v>
      </c>
      <c r="E5" s="4" t="str">
        <f aca="false">IF(ABS(D5)&lt;=0.01,"OK","CHECK")</f>
        <v>OK</v>
      </c>
      <c r="F5" s="10"/>
    </row>
    <row r="6" customFormat="false" ht="15" hidden="false" customHeight="true" outlineLevel="0" collapsed="false">
      <c r="A6" s="4" t="s">
        <v>197</v>
      </c>
      <c r="B6" s="5" t="n">
        <v>2703.65</v>
      </c>
      <c r="C6" s="5" t="n">
        <f aca="false">ROUND(SUMIF(Transactions!$E$2:$E$132,"GASOLEO A",Transactions!$H$2:$H$132),2)</f>
        <v>2703.65</v>
      </c>
      <c r="D6" s="5" t="n">
        <f aca="false">C6-B6</f>
        <v>0</v>
      </c>
      <c r="E6" s="4" t="str">
        <f aca="false">IF(ABS(D6)&lt;=0.02,"OK","CHECK")</f>
        <v>OK</v>
      </c>
      <c r="F6" s="10"/>
    </row>
    <row r="7" customFormat="false" ht="15" hidden="false" customHeight="true" outlineLevel="0" collapsed="false">
      <c r="A7" s="4" t="s">
        <v>198</v>
      </c>
      <c r="B7" s="5" t="n">
        <v>2266.99</v>
      </c>
      <c r="C7" s="5" t="n">
        <f aca="false">ROUND(SUMIF(Transactions!$E$2:$E$132,"GASOLEO A",Transactions!$J$2:$J$132),2)</f>
        <v>2266.99</v>
      </c>
      <c r="D7" s="5" t="n">
        <f aca="false">C7-B7</f>
        <v>0</v>
      </c>
      <c r="E7" s="4" t="str">
        <f aca="false">IF(ABS(D7)&lt;=0.02,"OK","CHECK")</f>
        <v>OK</v>
      </c>
      <c r="F7" s="10"/>
    </row>
    <row r="8" customFormat="false" ht="15" hidden="false" customHeight="true" outlineLevel="0" collapsed="false">
      <c r="A8" s="4" t="s">
        <v>199</v>
      </c>
      <c r="B8" s="5" t="n">
        <v>1902.3</v>
      </c>
      <c r="C8" s="5" t="n">
        <f aca="false">ROUND(SUMIF(Transactions!$E$2:$E$132,"ECOBLUE",Transactions!$F$2:$F$132),2)</f>
        <v>1902.3</v>
      </c>
      <c r="D8" s="5" t="n">
        <f aca="false">C8-B8</f>
        <v>0</v>
      </c>
      <c r="E8" s="4" t="str">
        <f aca="false">IF(ABS(D8)&lt;=0.01,"OK","CHECK")</f>
        <v>OK</v>
      </c>
      <c r="F8" s="10"/>
    </row>
    <row r="9" customFormat="false" ht="15" hidden="false" customHeight="true" outlineLevel="0" collapsed="false">
      <c r="A9" s="4" t="s">
        <v>200</v>
      </c>
      <c r="B9" s="5" t="n">
        <v>1846.48</v>
      </c>
      <c r="C9" s="5" t="n">
        <f aca="false">ROUND(SUMIF(Transactions!$E$2:$E$132,"ECOBLUE",Transactions!$H$2:$H$132),2)</f>
        <v>1846.48</v>
      </c>
      <c r="D9" s="5" t="n">
        <f aca="false">C9-B9</f>
        <v>0</v>
      </c>
      <c r="E9" s="4" t="str">
        <f aca="false">IF(ABS(D9)&lt;=0.05,"OK","CHECK")</f>
        <v>OK</v>
      </c>
      <c r="F9" s="10" t="s">
        <v>194</v>
      </c>
    </row>
    <row r="10" customFormat="false" ht="15" hidden="false" customHeight="true" outlineLevel="0" collapsed="false">
      <c r="A10" s="4" t="s">
        <v>201</v>
      </c>
      <c r="B10" s="5" t="n">
        <v>1209.33</v>
      </c>
      <c r="C10" s="5" t="n">
        <f aca="false">ROUND(SUMIF(Transactions!$E$2:$E$132,"ECOBLUE",Transactions!$J$2:$J$132),2)</f>
        <v>1209.36</v>
      </c>
      <c r="D10" s="5" t="n">
        <f aca="false">C10-B10</f>
        <v>0.0299999999999727</v>
      </c>
      <c r="E10" s="4" t="str">
        <f aca="false">IF(ABS(D10)&lt;=0.05,"OK","CHECK")</f>
        <v>OK</v>
      </c>
      <c r="F10" s="10" t="s">
        <v>194</v>
      </c>
    </row>
    <row r="11" customFormat="false" ht="15" hidden="false" customHeight="true" outlineLevel="0" collapsed="false">
      <c r="A11" s="4" t="s">
        <v>202</v>
      </c>
      <c r="B11" s="5" t="n">
        <v>-11399.35</v>
      </c>
      <c r="C11" s="5" t="n">
        <f aca="false">ROUND(SUMIF(Transactions!$K$2:$K$132,10,Transactions!$I$2:$I$132),2)</f>
        <v>-11399.35</v>
      </c>
      <c r="D11" s="5" t="n">
        <f aca="false">C11-B11</f>
        <v>0</v>
      </c>
      <c r="E11" s="4" t="str">
        <f aca="false">IF(ABS(D11)&lt;=0.02,"OK","CHECK")</f>
        <v>OK</v>
      </c>
      <c r="F11" s="10"/>
    </row>
    <row r="12" customFormat="false" ht="15" hidden="false" customHeight="true" outlineLevel="0" collapsed="false">
      <c r="A12" s="4" t="s">
        <v>203</v>
      </c>
      <c r="B12" s="5" t="n">
        <v>-640.59</v>
      </c>
      <c r="C12" s="5" t="n">
        <f aca="false">ROUND(SUMIF(Transactions!$K$2:$K$132,21,Transactions!$I$2:$I$132),2)</f>
        <v>-640.58</v>
      </c>
      <c r="D12" s="5" t="n">
        <f aca="false">C12-B12</f>
        <v>0.00999999999999091</v>
      </c>
      <c r="E12" s="4" t="str">
        <f aca="false">IF(ABS(D12)&lt;=0.02,"OK","CHECK")</f>
        <v>OK</v>
      </c>
      <c r="F12" s="10"/>
    </row>
    <row r="13" customFormat="false" ht="15" hidden="false" customHeight="true" outlineLevel="0" collapsed="false">
      <c r="A13" s="4" t="s">
        <v>204</v>
      </c>
      <c r="B13" s="5" t="n">
        <v>60091.26</v>
      </c>
      <c r="C13" s="5" t="n">
        <f aca="false">ROUND(SUMIF(Transactions!$K$2:$K$132,10,Transactions!$J$2:$J$132),2)</f>
        <v>60091.26</v>
      </c>
      <c r="D13" s="5" t="n">
        <f aca="false">C13-B13</f>
        <v>0</v>
      </c>
      <c r="E13" s="4" t="str">
        <f aca="false">IF(ABS(D13)&lt;=0.02,"OK","CHECK")</f>
        <v>OK</v>
      </c>
      <c r="F13" s="10"/>
    </row>
    <row r="14" customFormat="false" ht="15" hidden="false" customHeight="true" outlineLevel="0" collapsed="false">
      <c r="A14" s="4" t="s">
        <v>205</v>
      </c>
      <c r="B14" s="5" t="n">
        <v>54628.42</v>
      </c>
      <c r="C14" s="5" t="n">
        <f aca="false">ROUND(C13/1.1,2)</f>
        <v>54628.42</v>
      </c>
      <c r="D14" s="5" t="n">
        <f aca="false">C14-B14</f>
        <v>0</v>
      </c>
      <c r="E14" s="4" t="str">
        <f aca="false">IF(ABS(D14)&lt;=0.05,"OK","CHECK")</f>
        <v>OK</v>
      </c>
      <c r="F14" s="10" t="s">
        <v>206</v>
      </c>
    </row>
    <row r="15" customFormat="false" ht="15" hidden="false" customHeight="true" outlineLevel="0" collapsed="false">
      <c r="A15" s="4" t="s">
        <v>207</v>
      </c>
      <c r="B15" s="5" t="n">
        <v>1205.89</v>
      </c>
      <c r="C15" s="5" t="n">
        <f aca="false">ROUND(SUMIF(Transactions!$K$2:$K$132,21,Transactions!$J$2:$J$132),2)</f>
        <v>1205.92</v>
      </c>
      <c r="D15" s="5" t="n">
        <f aca="false">C15-B15</f>
        <v>0.0299999999999727</v>
      </c>
      <c r="E15" s="4" t="str">
        <f aca="false">IF(ABS(D15)&lt;=0.05,"OK","CHECK")</f>
        <v>OK</v>
      </c>
      <c r="F15" s="10" t="s">
        <v>194</v>
      </c>
    </row>
    <row r="16" customFormat="false" ht="15" hidden="false" customHeight="true" outlineLevel="0" collapsed="false">
      <c r="A16" s="4" t="s">
        <v>208</v>
      </c>
      <c r="B16" s="5" t="n">
        <v>996.61</v>
      </c>
      <c r="C16" s="5" t="n">
        <f aca="false">ROUND(C15/1.21,2)</f>
        <v>996.63</v>
      </c>
      <c r="D16" s="5" t="n">
        <f aca="false">C16-B16</f>
        <v>0.0199999999999818</v>
      </c>
      <c r="E16" s="4" t="str">
        <f aca="false">IF(ABS(D16)&lt;=0.05,"OK","CHECK")</f>
        <v>OK</v>
      </c>
      <c r="F16" s="10" t="s">
        <v>209</v>
      </c>
    </row>
    <row r="17" customFormat="false" ht="15" hidden="false" customHeight="true" outlineLevel="0" collapsed="false">
      <c r="A17" s="4" t="s">
        <v>210</v>
      </c>
      <c r="B17" s="5" t="n">
        <v>61297.15</v>
      </c>
      <c r="C17" s="5" t="n">
        <f aca="false">ROUND(SUM(Transactions!$J$2:$J$132),2)</f>
        <v>61297.18</v>
      </c>
      <c r="D17" s="5" t="n">
        <f aca="false">C17-B17</f>
        <v>0.0299999999988358</v>
      </c>
      <c r="E17" s="4" t="str">
        <f aca="false">IF(ABS(D17)&lt;=0.05,"OK","CHECK")</f>
        <v>OK</v>
      </c>
      <c r="F17" s="10" t="s">
        <v>194</v>
      </c>
    </row>
    <row r="18" customFormat="false" ht="15" hidden="false" customHeight="true" outlineLevel="0" collapsed="false">
      <c r="A18" s="4" t="s">
        <v>211</v>
      </c>
      <c r="B18" s="5" t="n">
        <v>721.65</v>
      </c>
      <c r="C18" s="5" t="n">
        <f aca="false">ROUND(SUM(Transactions!$L$2:$L$132),2)</f>
        <v>721.65</v>
      </c>
      <c r="D18" s="5" t="n">
        <f aca="false">C18-B18</f>
        <v>0</v>
      </c>
      <c r="E18" s="4" t="str">
        <f aca="false">IF(ABS(D18)&lt;=0.01,"OK","CHECK")</f>
        <v>OK</v>
      </c>
      <c r="F18" s="10" t="s">
        <v>212</v>
      </c>
    </row>
    <row r="19" customFormat="false" ht="15" hidden="false" customHeight="true" outlineLevel="0" collapsed="false">
      <c r="A19" s="4" t="s">
        <v>213</v>
      </c>
      <c r="B19" s="5" t="n">
        <v>60575.5</v>
      </c>
      <c r="C19" s="5" t="n">
        <f aca="false">C17-C18</f>
        <v>60575.53</v>
      </c>
      <c r="D19" s="5" t="n">
        <f aca="false">C19-B19</f>
        <v>0.0299999999988358</v>
      </c>
      <c r="E19" s="4" t="str">
        <f aca="false">IF(ABS(D19)&lt;=0.05,"OK","CHECK")</f>
        <v>OK</v>
      </c>
      <c r="F19" s="10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2026-06-11T05:46:39Z</dcterms:created>
  <dc:creator>openpyxl</dc:creator>
  <dc:description/>
  <dc:language>en-US</dc:language>
  <cp:lastModifiedBy/>
  <dcterms:modified xsi:type="dcterms:W3CDTF">2026-06-11T05:47:05Z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